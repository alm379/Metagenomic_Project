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diemartinez/Desktop/Metagenomic_Project/data/"/>
    </mc:Choice>
  </mc:AlternateContent>
  <xr:revisionPtr revIDLastSave="0" documentId="13_ncr:1_{69367A44-A0AD-F54E-9171-B851AE36E459}" xr6:coauthVersionLast="47" xr6:coauthVersionMax="47" xr10:uidLastSave="{00000000-0000-0000-0000-000000000000}"/>
  <bookViews>
    <workbookView xWindow="380" yWindow="500" windowWidth="28040" windowHeight="16280" activeTab="1" xr2:uid="{7C91C9A4-933B-0D4B-A117-D038AE99B579}"/>
  </bookViews>
  <sheets>
    <sheet name="Root_core" sheetId="1" r:id="rId1"/>
    <sheet name="Abovegroun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7" i="2" l="1"/>
  <c r="C15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2" i="2"/>
</calcChain>
</file>

<file path=xl/sharedStrings.xml><?xml version="1.0" encoding="utf-8"?>
<sst xmlns="http://schemas.openxmlformats.org/spreadsheetml/2006/main" count="121" uniqueCount="120">
  <si>
    <t>sample</t>
  </si>
  <si>
    <t>weight (g)</t>
  </si>
  <si>
    <t>I-AUHV-A</t>
  </si>
  <si>
    <t>I-AUHV-B</t>
  </si>
  <si>
    <t>I-AUHV-C</t>
  </si>
  <si>
    <t>I-MNHV-A</t>
  </si>
  <si>
    <t>I-MNHV-B</t>
  </si>
  <si>
    <t>I-MNHV-C</t>
  </si>
  <si>
    <t>I-BWW-A</t>
  </si>
  <si>
    <t>I-BWW-B</t>
  </si>
  <si>
    <t>I-BWW-C</t>
  </si>
  <si>
    <t>I-SWW-A</t>
  </si>
  <si>
    <t>I-SWW-B</t>
  </si>
  <si>
    <t>I-SWW-C</t>
  </si>
  <si>
    <t>I-ORG-A</t>
  </si>
  <si>
    <t>I-ORG-B</t>
  </si>
  <si>
    <t>I-ORG-C</t>
  </si>
  <si>
    <t>I-PRY-A</t>
  </si>
  <si>
    <t>I-PRY-B</t>
  </si>
  <si>
    <t>I-PRY-C</t>
  </si>
  <si>
    <t>I-RCL-A</t>
  </si>
  <si>
    <t>I-RCL-B</t>
  </si>
  <si>
    <t>I-RCL-C</t>
  </si>
  <si>
    <t>II-AUHV-A</t>
  </si>
  <si>
    <t>II-AUHV-B</t>
  </si>
  <si>
    <t>II-AUHV-C</t>
  </si>
  <si>
    <t>II-MNHV-A</t>
  </si>
  <si>
    <t>II-MNHV-B</t>
  </si>
  <si>
    <t>II-MNHV-C</t>
  </si>
  <si>
    <t>II-BWW-A</t>
  </si>
  <si>
    <t>II-BWW-B</t>
  </si>
  <si>
    <t>II-BWW-C</t>
  </si>
  <si>
    <t>II-SWW-A</t>
  </si>
  <si>
    <t>II-SWW-B</t>
  </si>
  <si>
    <t>II-SWW-C</t>
  </si>
  <si>
    <t>II-ORG-A</t>
  </si>
  <si>
    <t>II-ORG-B</t>
  </si>
  <si>
    <t>II-ORG-C</t>
  </si>
  <si>
    <t>II-PRY-A</t>
  </si>
  <si>
    <t>II-PRY-B</t>
  </si>
  <si>
    <t>II-PRY-C</t>
  </si>
  <si>
    <t>II-RCL-A</t>
  </si>
  <si>
    <t>II-RCL-B</t>
  </si>
  <si>
    <t>II-RCL-C</t>
  </si>
  <si>
    <t>III-AUHV-A</t>
  </si>
  <si>
    <t>III-AUHV-B</t>
  </si>
  <si>
    <t>III-AUHV-C</t>
  </si>
  <si>
    <t>III-MNHV-A</t>
  </si>
  <si>
    <t>III-MNHV-B</t>
  </si>
  <si>
    <t>III-MNHV-C</t>
  </si>
  <si>
    <t>III-BWW-A</t>
  </si>
  <si>
    <t>III-BWW-B</t>
  </si>
  <si>
    <t>III-BWW-C</t>
  </si>
  <si>
    <t>III-SWW-A</t>
  </si>
  <si>
    <t>III-SWW-B</t>
  </si>
  <si>
    <t>III-SWW-C</t>
  </si>
  <si>
    <t>III-ORG-A</t>
  </si>
  <si>
    <t>III-ORG-B</t>
  </si>
  <si>
    <t>III-ORG-C</t>
  </si>
  <si>
    <t>III-PRY-A</t>
  </si>
  <si>
    <t>III-PRY-B</t>
  </si>
  <si>
    <t>III-PRY-C</t>
  </si>
  <si>
    <t>III-RCL-A</t>
  </si>
  <si>
    <t>III-RCL-B</t>
  </si>
  <si>
    <t>III-RCL-C</t>
  </si>
  <si>
    <t>IV-AUHV-A</t>
  </si>
  <si>
    <t>IV-AUHV-B</t>
  </si>
  <si>
    <t>IV-AUHV-C</t>
  </si>
  <si>
    <t>IV-MNHV-A</t>
  </si>
  <si>
    <t>IV-MNHV-B</t>
  </si>
  <si>
    <t>IV-MNHV-C</t>
  </si>
  <si>
    <t>IV-BWW-A</t>
  </si>
  <si>
    <t>IV-BWW-B</t>
  </si>
  <si>
    <t>IV-BWW-C</t>
  </si>
  <si>
    <t>IV-SWW-A</t>
  </si>
  <si>
    <t>IV-SWW-B</t>
  </si>
  <si>
    <t>IV-SWW-C</t>
  </si>
  <si>
    <t>IV-ORG-A</t>
  </si>
  <si>
    <t>IV-ORG-B</t>
  </si>
  <si>
    <t>IV-ORG-C</t>
  </si>
  <si>
    <t>IV-PRY-A</t>
  </si>
  <si>
    <t>IV-PRY-B</t>
  </si>
  <si>
    <t>IV-PRY-C</t>
  </si>
  <si>
    <t>IV-RCL-A</t>
  </si>
  <si>
    <t>IV-RCL-B</t>
  </si>
  <si>
    <t>IV-RCL-C</t>
  </si>
  <si>
    <t xml:space="preserve">from 300 +/- 1 g soil </t>
  </si>
  <si>
    <t>in 0.25 M^2</t>
  </si>
  <si>
    <t>bag+biomass (g)</t>
  </si>
  <si>
    <t>bag</t>
  </si>
  <si>
    <t>dry_biomass_g</t>
  </si>
  <si>
    <t>I-AUHV</t>
  </si>
  <si>
    <t>I-MNHV</t>
  </si>
  <si>
    <t>I-BWW</t>
  </si>
  <si>
    <t>I-SWW</t>
  </si>
  <si>
    <t>I-ORG</t>
  </si>
  <si>
    <t>I-PRY</t>
  </si>
  <si>
    <t>I-RCL</t>
  </si>
  <si>
    <t>II-AUHV</t>
  </si>
  <si>
    <t>II-MNHV</t>
  </si>
  <si>
    <t>II-BWW</t>
  </si>
  <si>
    <t>II-SWW</t>
  </si>
  <si>
    <t>II-ORG</t>
  </si>
  <si>
    <t>II-PRY</t>
  </si>
  <si>
    <t>II-RCL</t>
  </si>
  <si>
    <t>III-AUHV</t>
  </si>
  <si>
    <t>III-MNHV</t>
  </si>
  <si>
    <t>III-BWW</t>
  </si>
  <si>
    <t>III-SWW</t>
  </si>
  <si>
    <t>III-ORG</t>
  </si>
  <si>
    <t>III-PRY</t>
  </si>
  <si>
    <t>III-RCL</t>
  </si>
  <si>
    <t>IV-AUHV</t>
  </si>
  <si>
    <t>IV-MNHV</t>
  </si>
  <si>
    <t>IV-BWW</t>
  </si>
  <si>
    <t>IV-SWW</t>
  </si>
  <si>
    <t>IV-ORG</t>
  </si>
  <si>
    <t>IV-PRY</t>
  </si>
  <si>
    <t>IV-RCL</t>
  </si>
  <si>
    <t>did some fall out?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</si>
</sst>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1F8F-CE4C-4441-8427-8B7CCE64AFAF}">
  <dimension ref="A1:D85"/>
  <sheetViews>
    <sheetView workbookViewId="0">
      <selection activeCell="D15" sqref="D15"/>
    </sheetView>
  </sheetViews>
  <sheetFormatPr baseColWidth="10" defaultRowHeight="16" x14ac:dyDescent="0.2"/>
  <cols>
    <col min="4" max="4" width="17.33203125" customWidth="1"/>
  </cols>
  <sheetData>
    <row r="1" spans="1:4" x14ac:dyDescent="0.2">
      <c r="A1" t="s">
        <v>0</v>
      </c>
      <c r="B1" t="s">
        <v>1</v>
      </c>
      <c r="D1" t="s">
        <v>86</v>
      </c>
    </row>
    <row r="2" spans="1:4" x14ac:dyDescent="0.2">
      <c r="A2" t="s">
        <v>2</v>
      </c>
      <c r="B2">
        <v>0.20180000000000001</v>
      </c>
    </row>
    <row r="3" spans="1:4" x14ac:dyDescent="0.2">
      <c r="A3" t="s">
        <v>3</v>
      </c>
      <c r="B3">
        <v>0.15909999999999999</v>
      </c>
    </row>
    <row r="4" spans="1:4" x14ac:dyDescent="0.2">
      <c r="A4" t="s">
        <v>4</v>
      </c>
      <c r="B4">
        <v>0.218</v>
      </c>
    </row>
    <row r="5" spans="1:4" x14ac:dyDescent="0.2">
      <c r="A5" t="s">
        <v>5</v>
      </c>
      <c r="B5">
        <v>0.1535</v>
      </c>
    </row>
    <row r="6" spans="1:4" x14ac:dyDescent="0.2">
      <c r="A6" t="s">
        <v>6</v>
      </c>
      <c r="B6">
        <v>0.1087</v>
      </c>
    </row>
    <row r="7" spans="1:4" x14ac:dyDescent="0.2">
      <c r="A7" t="s">
        <v>7</v>
      </c>
      <c r="B7">
        <v>7.7299999999999994E-2</v>
      </c>
    </row>
    <row r="8" spans="1:4" x14ac:dyDescent="0.2">
      <c r="A8" t="s">
        <v>8</v>
      </c>
      <c r="B8">
        <v>5.9799999999999999E-2</v>
      </c>
    </row>
    <row r="9" spans="1:4" x14ac:dyDescent="0.2">
      <c r="A9" t="s">
        <v>9</v>
      </c>
      <c r="B9">
        <v>8.0100000000000005E-2</v>
      </c>
    </row>
    <row r="10" spans="1:4" x14ac:dyDescent="0.2">
      <c r="A10" t="s">
        <v>10</v>
      </c>
      <c r="B10">
        <v>7.8899999999999998E-2</v>
      </c>
    </row>
    <row r="11" spans="1:4" x14ac:dyDescent="0.2">
      <c r="A11" t="s">
        <v>11</v>
      </c>
      <c r="B11">
        <v>5.9299999999999999E-2</v>
      </c>
    </row>
    <row r="12" spans="1:4" x14ac:dyDescent="0.2">
      <c r="A12" t="s">
        <v>12</v>
      </c>
      <c r="B12">
        <v>0.11559999999999999</v>
      </c>
    </row>
    <row r="13" spans="1:4" x14ac:dyDescent="0.2">
      <c r="A13" t="s">
        <v>13</v>
      </c>
      <c r="B13">
        <v>0.10199999999999999</v>
      </c>
    </row>
    <row r="14" spans="1:4" x14ac:dyDescent="0.2">
      <c r="A14" s="1" t="s">
        <v>14</v>
      </c>
      <c r="B14">
        <v>0.58599999999999997</v>
      </c>
    </row>
    <row r="15" spans="1:4" x14ac:dyDescent="0.2">
      <c r="A15" s="1" t="s">
        <v>15</v>
      </c>
      <c r="B15">
        <v>0.3291</v>
      </c>
    </row>
    <row r="16" spans="1:4" x14ac:dyDescent="0.2">
      <c r="A16" s="1" t="s">
        <v>16</v>
      </c>
      <c r="B16">
        <v>0.83209999999999995</v>
      </c>
    </row>
    <row r="17" spans="1:2" x14ac:dyDescent="0.2">
      <c r="A17" s="1" t="s">
        <v>17</v>
      </c>
      <c r="B17">
        <v>0.45669999999999999</v>
      </c>
    </row>
    <row r="18" spans="1:2" x14ac:dyDescent="0.2">
      <c r="A18" s="1" t="s">
        <v>18</v>
      </c>
      <c r="B18">
        <v>0.51160000000000005</v>
      </c>
    </row>
    <row r="19" spans="1:2" x14ac:dyDescent="0.2">
      <c r="A19" s="1" t="s">
        <v>19</v>
      </c>
      <c r="B19">
        <v>0.60680000000000001</v>
      </c>
    </row>
    <row r="20" spans="1:2" x14ac:dyDescent="0.2">
      <c r="A20" s="1" t="s">
        <v>20</v>
      </c>
      <c r="B20">
        <v>0.31090000000000001</v>
      </c>
    </row>
    <row r="21" spans="1:2" x14ac:dyDescent="0.2">
      <c r="A21" s="1" t="s">
        <v>21</v>
      </c>
      <c r="B21">
        <v>0.13980000000000001</v>
      </c>
    </row>
    <row r="22" spans="1:2" x14ac:dyDescent="0.2">
      <c r="A22" s="1" t="s">
        <v>22</v>
      </c>
      <c r="B22">
        <v>0.21340000000000001</v>
      </c>
    </row>
    <row r="23" spans="1:2" x14ac:dyDescent="0.2">
      <c r="A23" t="s">
        <v>23</v>
      </c>
      <c r="B23">
        <v>0.1079</v>
      </c>
    </row>
    <row r="24" spans="1:2" x14ac:dyDescent="0.2">
      <c r="A24" t="s">
        <v>24</v>
      </c>
      <c r="B24">
        <v>5.0799999999999998E-2</v>
      </c>
    </row>
    <row r="25" spans="1:2" x14ac:dyDescent="0.2">
      <c r="A25" t="s">
        <v>25</v>
      </c>
      <c r="B25">
        <v>5.2400000000000002E-2</v>
      </c>
    </row>
    <row r="26" spans="1:2" x14ac:dyDescent="0.2">
      <c r="A26" t="s">
        <v>26</v>
      </c>
      <c r="B26">
        <v>0.1135</v>
      </c>
    </row>
    <row r="27" spans="1:2" x14ac:dyDescent="0.2">
      <c r="A27" t="s">
        <v>27</v>
      </c>
      <c r="B27">
        <v>9.0399999999999994E-2</v>
      </c>
    </row>
    <row r="28" spans="1:2" x14ac:dyDescent="0.2">
      <c r="A28" t="s">
        <v>28</v>
      </c>
      <c r="B28">
        <v>7.0199999999999999E-2</v>
      </c>
    </row>
    <row r="29" spans="1:2" x14ac:dyDescent="0.2">
      <c r="A29" t="s">
        <v>29</v>
      </c>
      <c r="B29">
        <v>9.0899999999999995E-2</v>
      </c>
    </row>
    <row r="30" spans="1:2" x14ac:dyDescent="0.2">
      <c r="A30" t="s">
        <v>30</v>
      </c>
      <c r="B30">
        <v>7.7700000000000005E-2</v>
      </c>
    </row>
    <row r="31" spans="1:2" x14ac:dyDescent="0.2">
      <c r="A31" t="s">
        <v>31</v>
      </c>
      <c r="B31">
        <v>6.2700000000000006E-2</v>
      </c>
    </row>
    <row r="32" spans="1:2" x14ac:dyDescent="0.2">
      <c r="A32" t="s">
        <v>32</v>
      </c>
      <c r="B32">
        <v>9.5299999999999996E-2</v>
      </c>
    </row>
    <row r="33" spans="1:2" x14ac:dyDescent="0.2">
      <c r="A33" t="s">
        <v>33</v>
      </c>
      <c r="B33">
        <v>7.0499999999999993E-2</v>
      </c>
    </row>
    <row r="34" spans="1:2" x14ac:dyDescent="0.2">
      <c r="A34" t="s">
        <v>34</v>
      </c>
      <c r="B34">
        <v>7.8200000000000006E-2</v>
      </c>
    </row>
    <row r="35" spans="1:2" x14ac:dyDescent="0.2">
      <c r="A35" s="1" t="s">
        <v>35</v>
      </c>
      <c r="B35">
        <v>1.3411999999999999</v>
      </c>
    </row>
    <row r="36" spans="1:2" x14ac:dyDescent="0.2">
      <c r="A36" s="1" t="s">
        <v>36</v>
      </c>
      <c r="B36">
        <v>1.5718000000000001</v>
      </c>
    </row>
    <row r="37" spans="1:2" x14ac:dyDescent="0.2">
      <c r="A37" s="1" t="s">
        <v>37</v>
      </c>
      <c r="B37">
        <v>1.0938000000000001</v>
      </c>
    </row>
    <row r="38" spans="1:2" x14ac:dyDescent="0.2">
      <c r="A38" s="1" t="s">
        <v>38</v>
      </c>
      <c r="B38">
        <v>0.73060000000000003</v>
      </c>
    </row>
    <row r="39" spans="1:2" x14ac:dyDescent="0.2">
      <c r="A39" s="1" t="s">
        <v>39</v>
      </c>
      <c r="B39">
        <v>0.77</v>
      </c>
    </row>
    <row r="40" spans="1:2" x14ac:dyDescent="0.2">
      <c r="A40" s="1" t="s">
        <v>40</v>
      </c>
      <c r="B40">
        <v>0.60319999999999996</v>
      </c>
    </row>
    <row r="41" spans="1:2" x14ac:dyDescent="0.2">
      <c r="A41" s="1" t="s">
        <v>41</v>
      </c>
      <c r="B41">
        <v>0.3392</v>
      </c>
    </row>
    <row r="42" spans="1:2" x14ac:dyDescent="0.2">
      <c r="A42" s="1" t="s">
        <v>42</v>
      </c>
      <c r="B42">
        <v>0.30030000000000001</v>
      </c>
    </row>
    <row r="43" spans="1:2" x14ac:dyDescent="0.2">
      <c r="A43" s="1" t="s">
        <v>43</v>
      </c>
      <c r="B43">
        <v>0.37840000000000001</v>
      </c>
    </row>
    <row r="44" spans="1:2" x14ac:dyDescent="0.2">
      <c r="A44" s="1" t="s">
        <v>44</v>
      </c>
      <c r="B44">
        <v>0.1447</v>
      </c>
    </row>
    <row r="45" spans="1:2" x14ac:dyDescent="0.2">
      <c r="A45" s="1" t="s">
        <v>45</v>
      </c>
      <c r="B45">
        <v>0.1226</v>
      </c>
    </row>
    <row r="46" spans="1:2" x14ac:dyDescent="0.2">
      <c r="A46" s="1" t="s">
        <v>46</v>
      </c>
      <c r="B46">
        <v>0.13800000000000001</v>
      </c>
    </row>
    <row r="47" spans="1:2" x14ac:dyDescent="0.2">
      <c r="A47" s="1" t="s">
        <v>47</v>
      </c>
      <c r="B47">
        <v>0.16639999999999999</v>
      </c>
    </row>
    <row r="48" spans="1:2" x14ac:dyDescent="0.2">
      <c r="A48" s="1" t="s">
        <v>48</v>
      </c>
      <c r="B48">
        <v>0.29039999999999999</v>
      </c>
    </row>
    <row r="49" spans="1:2" x14ac:dyDescent="0.2">
      <c r="A49" s="1" t="s">
        <v>49</v>
      </c>
      <c r="B49">
        <v>8.2100000000000006E-2</v>
      </c>
    </row>
    <row r="50" spans="1:2" x14ac:dyDescent="0.2">
      <c r="A50" s="1" t="s">
        <v>50</v>
      </c>
      <c r="B50">
        <v>5.5300000000000002E-2</v>
      </c>
    </row>
    <row r="51" spans="1:2" x14ac:dyDescent="0.2">
      <c r="A51" s="1" t="s">
        <v>51</v>
      </c>
      <c r="B51">
        <v>5.1900000000000002E-2</v>
      </c>
    </row>
    <row r="52" spans="1:2" x14ac:dyDescent="0.2">
      <c r="A52" s="1" t="s">
        <v>52</v>
      </c>
      <c r="B52">
        <v>0.1009</v>
      </c>
    </row>
    <row r="53" spans="1:2" x14ac:dyDescent="0.2">
      <c r="A53" s="1" t="s">
        <v>53</v>
      </c>
      <c r="B53">
        <v>2.46E-2</v>
      </c>
    </row>
    <row r="54" spans="1:2" x14ac:dyDescent="0.2">
      <c r="A54" s="1" t="s">
        <v>54</v>
      </c>
      <c r="B54">
        <v>5.2200000000000003E-2</v>
      </c>
    </row>
    <row r="55" spans="1:2" x14ac:dyDescent="0.2">
      <c r="A55" s="1" t="s">
        <v>55</v>
      </c>
      <c r="B55">
        <v>7.3400000000000007E-2</v>
      </c>
    </row>
    <row r="56" spans="1:2" x14ac:dyDescent="0.2">
      <c r="A56" s="1" t="s">
        <v>56</v>
      </c>
      <c r="B56">
        <v>0.2923</v>
      </c>
    </row>
    <row r="57" spans="1:2" x14ac:dyDescent="0.2">
      <c r="A57" s="1" t="s">
        <v>57</v>
      </c>
      <c r="B57">
        <v>0.33379999999999999</v>
      </c>
    </row>
    <row r="58" spans="1:2" x14ac:dyDescent="0.2">
      <c r="A58" s="1" t="s">
        <v>58</v>
      </c>
      <c r="B58">
        <v>1.0533999999999999</v>
      </c>
    </row>
    <row r="59" spans="1:2" x14ac:dyDescent="0.2">
      <c r="A59" s="1" t="s">
        <v>59</v>
      </c>
      <c r="B59">
        <v>0.81810000000000005</v>
      </c>
    </row>
    <row r="60" spans="1:2" x14ac:dyDescent="0.2">
      <c r="A60" s="1" t="s">
        <v>60</v>
      </c>
      <c r="B60">
        <v>0.71840000000000004</v>
      </c>
    </row>
    <row r="61" spans="1:2" x14ac:dyDescent="0.2">
      <c r="A61" s="1" t="s">
        <v>61</v>
      </c>
      <c r="B61">
        <v>0.77010000000000001</v>
      </c>
    </row>
    <row r="62" spans="1:2" x14ac:dyDescent="0.2">
      <c r="A62" s="1" t="s">
        <v>62</v>
      </c>
      <c r="B62">
        <v>0.2341</v>
      </c>
    </row>
    <row r="63" spans="1:2" x14ac:dyDescent="0.2">
      <c r="A63" s="1" t="s">
        <v>63</v>
      </c>
      <c r="B63">
        <v>0.2364</v>
      </c>
    </row>
    <row r="64" spans="1:2" x14ac:dyDescent="0.2">
      <c r="A64" s="1" t="s">
        <v>64</v>
      </c>
      <c r="B64">
        <v>0.43969999999999998</v>
      </c>
    </row>
    <row r="65" spans="1:2" x14ac:dyDescent="0.2">
      <c r="A65" s="1" t="s">
        <v>65</v>
      </c>
      <c r="B65">
        <v>8.7400000000000005E-2</v>
      </c>
    </row>
    <row r="66" spans="1:2" x14ac:dyDescent="0.2">
      <c r="A66" s="1" t="s">
        <v>66</v>
      </c>
      <c r="B66">
        <v>6.3399999999999998E-2</v>
      </c>
    </row>
    <row r="67" spans="1:2" x14ac:dyDescent="0.2">
      <c r="A67" s="1" t="s">
        <v>67</v>
      </c>
      <c r="B67">
        <v>3.9899999999999998E-2</v>
      </c>
    </row>
    <row r="68" spans="1:2" x14ac:dyDescent="0.2">
      <c r="A68" s="1" t="s">
        <v>68</v>
      </c>
      <c r="B68">
        <v>0.1026</v>
      </c>
    </row>
    <row r="69" spans="1:2" x14ac:dyDescent="0.2">
      <c r="A69" s="1" t="s">
        <v>69</v>
      </c>
      <c r="B69">
        <v>0.1011</v>
      </c>
    </row>
    <row r="70" spans="1:2" x14ac:dyDescent="0.2">
      <c r="A70" s="1" t="s">
        <v>70</v>
      </c>
      <c r="B70">
        <v>7.5600000000000001E-2</v>
      </c>
    </row>
    <row r="71" spans="1:2" x14ac:dyDescent="0.2">
      <c r="A71" s="1" t="s">
        <v>71</v>
      </c>
      <c r="B71">
        <v>8.4099999999999994E-2</v>
      </c>
    </row>
    <row r="72" spans="1:2" x14ac:dyDescent="0.2">
      <c r="A72" s="1" t="s">
        <v>72</v>
      </c>
      <c r="B72">
        <v>5.8900000000000001E-2</v>
      </c>
    </row>
    <row r="73" spans="1:2" x14ac:dyDescent="0.2">
      <c r="A73" s="1" t="s">
        <v>73</v>
      </c>
      <c r="B73">
        <v>7.2400000000000006E-2</v>
      </c>
    </row>
    <row r="74" spans="1:2" x14ac:dyDescent="0.2">
      <c r="A74" s="1" t="s">
        <v>74</v>
      </c>
      <c r="B74">
        <v>1.9599999999999999E-2</v>
      </c>
    </row>
    <row r="75" spans="1:2" x14ac:dyDescent="0.2">
      <c r="A75" s="1" t="s">
        <v>75</v>
      </c>
      <c r="B75">
        <v>3.4299999999999997E-2</v>
      </c>
    </row>
    <row r="76" spans="1:2" x14ac:dyDescent="0.2">
      <c r="A76" s="1" t="s">
        <v>76</v>
      </c>
      <c r="B76">
        <v>4.7199999999999999E-2</v>
      </c>
    </row>
    <row r="77" spans="1:2" x14ac:dyDescent="0.2">
      <c r="A77" s="1" t="s">
        <v>77</v>
      </c>
      <c r="B77">
        <v>0.98329999999999995</v>
      </c>
    </row>
    <row r="78" spans="1:2" x14ac:dyDescent="0.2">
      <c r="A78" s="1" t="s">
        <v>78</v>
      </c>
      <c r="B78">
        <v>0.38440000000000002</v>
      </c>
    </row>
    <row r="79" spans="1:2" x14ac:dyDescent="0.2">
      <c r="A79" s="1" t="s">
        <v>79</v>
      </c>
      <c r="B79">
        <v>0.31059999999999999</v>
      </c>
    </row>
    <row r="80" spans="1:2" x14ac:dyDescent="0.2">
      <c r="A80" s="1" t="s">
        <v>80</v>
      </c>
      <c r="B80">
        <v>0.6008</v>
      </c>
    </row>
    <row r="81" spans="1:2" x14ac:dyDescent="0.2">
      <c r="A81" s="1" t="s">
        <v>81</v>
      </c>
      <c r="B81">
        <v>0.7278</v>
      </c>
    </row>
    <row r="82" spans="1:2" x14ac:dyDescent="0.2">
      <c r="A82" s="1" t="s">
        <v>82</v>
      </c>
      <c r="B82">
        <v>0.40589999999999998</v>
      </c>
    </row>
    <row r="83" spans="1:2" x14ac:dyDescent="0.2">
      <c r="A83" s="1" t="s">
        <v>83</v>
      </c>
      <c r="B83">
        <v>0.37040000000000001</v>
      </c>
    </row>
    <row r="84" spans="1:2" x14ac:dyDescent="0.2">
      <c r="A84" s="1" t="s">
        <v>84</v>
      </c>
      <c r="B84">
        <v>0.34350000000000003</v>
      </c>
    </row>
    <row r="85" spans="1:2" x14ac:dyDescent="0.2">
      <c r="A85" s="1" t="s">
        <v>85</v>
      </c>
      <c r="B85">
        <v>0.1487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68AE7-8471-1E41-A2BC-2810356ECE2B}">
  <dimension ref="A1:E29"/>
  <sheetViews>
    <sheetView tabSelected="1" workbookViewId="0">
      <selection activeCell="L24" sqref="L24"/>
    </sheetView>
  </sheetViews>
  <sheetFormatPr baseColWidth="10" defaultRowHeight="16" x14ac:dyDescent="0.2"/>
  <cols>
    <col min="2" max="2" width="17.5" customWidth="1"/>
    <col min="4" max="4" width="18" customWidth="1"/>
  </cols>
  <sheetData>
    <row r="1" spans="1:5" x14ac:dyDescent="0.2">
      <c r="A1" t="s">
        <v>0</v>
      </c>
      <c r="B1" t="s">
        <v>88</v>
      </c>
      <c r="C1" t="s">
        <v>89</v>
      </c>
      <c r="D1" t="s">
        <v>90</v>
      </c>
      <c r="E1" t="s">
        <v>87</v>
      </c>
    </row>
    <row r="2" spans="1:5" x14ac:dyDescent="0.2">
      <c r="A2" t="s">
        <v>91</v>
      </c>
      <c r="B2">
        <v>68.42</v>
      </c>
      <c r="C2">
        <v>19.78</v>
      </c>
      <c r="D2">
        <f>B2-C2</f>
        <v>48.64</v>
      </c>
    </row>
    <row r="3" spans="1:5" x14ac:dyDescent="0.2">
      <c r="A3" t="s">
        <v>92</v>
      </c>
      <c r="B3">
        <v>54.5</v>
      </c>
      <c r="C3">
        <v>19.36</v>
      </c>
      <c r="D3">
        <f t="shared" ref="D3:D23" si="0">B3-C3</f>
        <v>35.14</v>
      </c>
    </row>
    <row r="4" spans="1:5" x14ac:dyDescent="0.2">
      <c r="A4" t="s">
        <v>93</v>
      </c>
      <c r="B4">
        <v>44.2</v>
      </c>
      <c r="C4">
        <v>19.940000000000001</v>
      </c>
      <c r="D4">
        <f t="shared" si="0"/>
        <v>24.26</v>
      </c>
    </row>
    <row r="5" spans="1:5" x14ac:dyDescent="0.2">
      <c r="A5" t="s">
        <v>94</v>
      </c>
      <c r="B5">
        <v>63.12</v>
      </c>
      <c r="C5">
        <v>19.96</v>
      </c>
      <c r="D5">
        <f t="shared" si="0"/>
        <v>43.16</v>
      </c>
    </row>
    <row r="6" spans="1:5" x14ac:dyDescent="0.2">
      <c r="A6" s="1" t="s">
        <v>95</v>
      </c>
      <c r="B6">
        <v>103.66</v>
      </c>
      <c r="C6">
        <v>19.829999999999998</v>
      </c>
      <c r="D6">
        <f t="shared" si="0"/>
        <v>83.83</v>
      </c>
    </row>
    <row r="7" spans="1:5" x14ac:dyDescent="0.2">
      <c r="A7" s="1" t="s">
        <v>96</v>
      </c>
      <c r="B7">
        <v>52.41</v>
      </c>
      <c r="C7">
        <v>19.87</v>
      </c>
      <c r="D7">
        <f t="shared" si="0"/>
        <v>32.539999999999992</v>
      </c>
      <c r="E7" t="s">
        <v>119</v>
      </c>
    </row>
    <row r="8" spans="1:5" x14ac:dyDescent="0.2">
      <c r="A8" s="1" t="s">
        <v>97</v>
      </c>
      <c r="B8">
        <v>69.7</v>
      </c>
      <c r="C8">
        <v>19.600000000000001</v>
      </c>
      <c r="D8">
        <f t="shared" si="0"/>
        <v>50.1</v>
      </c>
    </row>
    <row r="9" spans="1:5" x14ac:dyDescent="0.2">
      <c r="A9" t="s">
        <v>98</v>
      </c>
      <c r="B9">
        <v>44.07</v>
      </c>
      <c r="C9">
        <v>19.850000000000001</v>
      </c>
      <c r="D9">
        <f t="shared" si="0"/>
        <v>24.22</v>
      </c>
    </row>
    <row r="10" spans="1:5" x14ac:dyDescent="0.2">
      <c r="A10" t="s">
        <v>99</v>
      </c>
      <c r="B10">
        <v>66.44</v>
      </c>
      <c r="C10">
        <v>19.78</v>
      </c>
      <c r="D10">
        <f t="shared" si="0"/>
        <v>46.66</v>
      </c>
    </row>
    <row r="11" spans="1:5" x14ac:dyDescent="0.2">
      <c r="A11" t="s">
        <v>100</v>
      </c>
      <c r="B11">
        <v>100.94</v>
      </c>
      <c r="C11">
        <v>19.940000000000001</v>
      </c>
      <c r="D11">
        <f t="shared" si="0"/>
        <v>81</v>
      </c>
    </row>
    <row r="12" spans="1:5" x14ac:dyDescent="0.2">
      <c r="A12" t="s">
        <v>101</v>
      </c>
      <c r="B12">
        <v>68.05</v>
      </c>
      <c r="C12">
        <v>19.86</v>
      </c>
      <c r="D12">
        <f t="shared" si="0"/>
        <v>48.19</v>
      </c>
    </row>
    <row r="13" spans="1:5" x14ac:dyDescent="0.2">
      <c r="A13" s="1" t="s">
        <v>102</v>
      </c>
      <c r="B13">
        <v>121.51</v>
      </c>
      <c r="C13">
        <v>19.84</v>
      </c>
      <c r="D13">
        <f t="shared" si="0"/>
        <v>101.67</v>
      </c>
    </row>
    <row r="14" spans="1:5" x14ac:dyDescent="0.2">
      <c r="A14" s="1" t="s">
        <v>103</v>
      </c>
      <c r="B14">
        <v>119.28</v>
      </c>
      <c r="C14">
        <v>19.78</v>
      </c>
      <c r="D14">
        <f t="shared" si="0"/>
        <v>99.5</v>
      </c>
    </row>
    <row r="15" spans="1:5" x14ac:dyDescent="0.2">
      <c r="A15" s="1" t="s">
        <v>104</v>
      </c>
      <c r="B15">
        <v>87.05</v>
      </c>
      <c r="C15">
        <f>19.88+19.67</f>
        <v>39.549999999999997</v>
      </c>
      <c r="D15">
        <f t="shared" si="0"/>
        <v>47.5</v>
      </c>
    </row>
    <row r="16" spans="1:5" x14ac:dyDescent="0.2">
      <c r="A16" s="1" t="s">
        <v>105</v>
      </c>
      <c r="B16">
        <v>54.66</v>
      </c>
      <c r="C16">
        <v>19.87</v>
      </c>
      <c r="D16">
        <f t="shared" si="0"/>
        <v>34.789999999999992</v>
      </c>
    </row>
    <row r="17" spans="1:4" x14ac:dyDescent="0.2">
      <c r="A17" s="1" t="s">
        <v>106</v>
      </c>
      <c r="B17">
        <v>43.42</v>
      </c>
      <c r="C17">
        <v>19.75</v>
      </c>
      <c r="D17">
        <f t="shared" si="0"/>
        <v>23.67</v>
      </c>
    </row>
    <row r="18" spans="1:4" x14ac:dyDescent="0.2">
      <c r="A18" s="1" t="s">
        <v>107</v>
      </c>
      <c r="B18">
        <v>47.67</v>
      </c>
      <c r="C18">
        <v>19.989999999999998</v>
      </c>
      <c r="D18">
        <f t="shared" si="0"/>
        <v>27.680000000000003</v>
      </c>
    </row>
    <row r="19" spans="1:4" x14ac:dyDescent="0.2">
      <c r="A19" s="1" t="s">
        <v>108</v>
      </c>
      <c r="B19">
        <v>44.82</v>
      </c>
      <c r="C19">
        <v>19.940000000000001</v>
      </c>
      <c r="D19">
        <f t="shared" si="0"/>
        <v>24.88</v>
      </c>
    </row>
    <row r="20" spans="1:4" x14ac:dyDescent="0.2">
      <c r="A20" s="1" t="s">
        <v>109</v>
      </c>
      <c r="B20">
        <v>67.13</v>
      </c>
      <c r="C20">
        <v>19.760000000000002</v>
      </c>
      <c r="D20">
        <f t="shared" si="0"/>
        <v>47.36999999999999</v>
      </c>
    </row>
    <row r="21" spans="1:4" x14ac:dyDescent="0.2">
      <c r="A21" s="1" t="s">
        <v>110</v>
      </c>
      <c r="B21">
        <v>110.4</v>
      </c>
      <c r="C21">
        <v>19.89</v>
      </c>
      <c r="D21">
        <f t="shared" si="0"/>
        <v>90.51</v>
      </c>
    </row>
    <row r="22" spans="1:4" x14ac:dyDescent="0.2">
      <c r="A22" s="1" t="s">
        <v>111</v>
      </c>
      <c r="B22">
        <v>67.58</v>
      </c>
      <c r="C22">
        <v>19.739999999999998</v>
      </c>
      <c r="D22">
        <f t="shared" si="0"/>
        <v>47.84</v>
      </c>
    </row>
    <row r="23" spans="1:4" x14ac:dyDescent="0.2">
      <c r="A23" s="1" t="s">
        <v>112</v>
      </c>
      <c r="B23">
        <v>31.01</v>
      </c>
      <c r="C23">
        <v>19.75</v>
      </c>
      <c r="D23">
        <f t="shared" si="0"/>
        <v>11.260000000000002</v>
      </c>
    </row>
    <row r="24" spans="1:4" x14ac:dyDescent="0.2">
      <c r="A24" s="1" t="s">
        <v>113</v>
      </c>
      <c r="B24">
        <v>63.38</v>
      </c>
      <c r="C24">
        <v>19.989999999999998</v>
      </c>
      <c r="D24">
        <f t="shared" ref="D24:D29" si="1">B24-C24</f>
        <v>43.39</v>
      </c>
    </row>
    <row r="25" spans="1:4" x14ac:dyDescent="0.2">
      <c r="A25" s="1" t="s">
        <v>114</v>
      </c>
      <c r="B25">
        <v>72.489999999999995</v>
      </c>
      <c r="C25">
        <v>19.79</v>
      </c>
      <c r="D25">
        <f t="shared" si="1"/>
        <v>52.699999999999996</v>
      </c>
    </row>
    <row r="26" spans="1:4" x14ac:dyDescent="0.2">
      <c r="A26" s="1" t="s">
        <v>115</v>
      </c>
      <c r="B26">
        <v>33.18</v>
      </c>
      <c r="C26">
        <v>19.87</v>
      </c>
      <c r="D26">
        <f t="shared" si="1"/>
        <v>13.309999999999999</v>
      </c>
    </row>
    <row r="27" spans="1:4" x14ac:dyDescent="0.2">
      <c r="A27" s="1" t="s">
        <v>116</v>
      </c>
      <c r="B27">
        <v>98.28</v>
      </c>
      <c r="C27">
        <f>19.84+19.71</f>
        <v>39.549999999999997</v>
      </c>
      <c r="D27">
        <f t="shared" si="1"/>
        <v>58.730000000000004</v>
      </c>
    </row>
    <row r="28" spans="1:4" x14ac:dyDescent="0.2">
      <c r="A28" s="1" t="s">
        <v>117</v>
      </c>
      <c r="B28">
        <v>82.11</v>
      </c>
      <c r="C28">
        <v>19.77</v>
      </c>
      <c r="D28">
        <f t="shared" si="1"/>
        <v>62.34</v>
      </c>
    </row>
    <row r="29" spans="1:4" x14ac:dyDescent="0.2">
      <c r="A29" s="1" t="s">
        <v>118</v>
      </c>
      <c r="B29">
        <v>58.17</v>
      </c>
      <c r="C29">
        <v>19.84</v>
      </c>
      <c r="D29">
        <f t="shared" si="1"/>
        <v>38.33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Root_core</vt:lpstr>
      <vt:lpstr>Aboveground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Leigh Martinez</dc:creator>
  <cp:lastModifiedBy>Andrea Leigh Martinez</cp:lastModifiedBy>
  <dcterms:created xsi:type="dcterms:W3CDTF">2026-07-01T17:22:25Z</dcterms:created>
  <dcterms:modified xsi:type="dcterms:W3CDTF">2026-07-02T16:15:40Z</dcterms:modified>
</cp:coreProperties>
</file>