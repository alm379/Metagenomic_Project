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iemartinez/Desktop/Metagenomic_Project/data/"/>
    </mc:Choice>
  </mc:AlternateContent>
  <xr:revisionPtr revIDLastSave="0" documentId="13_ncr:1_{A286EBC9-38F2-8449-8A26-EE18959D00D8}" xr6:coauthVersionLast="47" xr6:coauthVersionMax="47" xr10:uidLastSave="{00000000-0000-0000-0000-000000000000}"/>
  <bookViews>
    <workbookView xWindow="520" yWindow="520" windowWidth="28040" windowHeight="16280" activeTab="1" xr2:uid="{7C91C9A4-933B-0D4B-A117-D038AE99B579}"/>
  </bookViews>
  <sheets>
    <sheet name="Root_core" sheetId="1" r:id="rId1"/>
    <sheet name="Aboveground_and_avg_root" sheetId="2" r:id="rId2"/>
    <sheet name="soil_percent_dry_w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H3" i="2" a="1"/>
  <c r="H4" i="2" a="1"/>
  <c r="H5" i="2" a="1"/>
  <c r="H6" i="2" a="1"/>
  <c r="H7" i="2" a="1"/>
  <c r="H8" i="2" a="1"/>
  <c r="H9" i="2" a="1"/>
  <c r="H10" i="2" a="1"/>
  <c r="H11" i="2" a="1"/>
  <c r="H12" i="2" a="1"/>
  <c r="H13" i="2" a="1"/>
  <c r="H14" i="2" a="1"/>
  <c r="H15" i="2" a="1"/>
  <c r="H16" i="2" a="1"/>
  <c r="H17" i="2" a="1"/>
  <c r="H18" i="2" a="1"/>
  <c r="H19" i="2" a="1"/>
  <c r="H20" i="2" a="1"/>
  <c r="H21" i="2" a="1"/>
  <c r="H22" i="2" a="1"/>
  <c r="H23" i="2" a="1"/>
  <c r="H24" i="2" a="1"/>
  <c r="H25" i="2" a="1"/>
  <c r="H26" i="2" a="1"/>
  <c r="H27" i="2" a="1"/>
  <c r="H28" i="2" a="1"/>
  <c r="H29" i="2" a="1"/>
  <c r="H2" i="2" a="1"/>
  <c r="G2" i="2" a="1"/>
  <c r="C3" i="3" a="1"/>
  <c r="C4" i="3" a="1"/>
  <c r="C5" i="3" a="1"/>
  <c r="C6" i="3" a="1"/>
  <c r="C7" i="3" a="1"/>
  <c r="C8" i="3" a="1"/>
  <c r="C9" i="3" a="1"/>
  <c r="C10" i="3" a="1"/>
  <c r="C11" i="3" a="1"/>
  <c r="C12" i="3" a="1"/>
  <c r="C13" i="3" a="1"/>
  <c r="C14" i="3" a="1"/>
  <c r="C15" i="3" a="1"/>
  <c r="C16" i="3" a="1"/>
  <c r="C17" i="3" a="1"/>
  <c r="C18" i="3" a="1"/>
  <c r="C19" i="3" a="1"/>
  <c r="C20" i="3" a="1"/>
  <c r="C21" i="3" a="1"/>
  <c r="C22" i="3" a="1"/>
  <c r="C23" i="3" a="1"/>
  <c r="C24" i="3" a="1"/>
  <c r="C25" i="3" a="1"/>
  <c r="C26" i="3" a="1"/>
  <c r="C27" i="3" a="1"/>
  <c r="C28" i="3" a="1"/>
  <c r="C29" i="3" a="1"/>
  <c r="C30" i="3" a="1"/>
  <c r="C31" i="3" a="1"/>
  <c r="C32" i="3" a="1"/>
  <c r="C33" i="3" a="1"/>
  <c r="C34" i="3" a="1"/>
  <c r="C35" i="3" a="1"/>
  <c r="C36" i="3" a="1"/>
  <c r="C37" i="3" a="1"/>
  <c r="C38" i="3" a="1"/>
  <c r="C39" i="3" a="1"/>
  <c r="C40" i="3" a="1"/>
  <c r="C41" i="3" a="1"/>
  <c r="C42" i="3" a="1"/>
  <c r="C43" i="3" a="1"/>
  <c r="C44" i="3" a="1"/>
  <c r="C45" i="3" a="1"/>
  <c r="C46" i="3" a="1"/>
  <c r="C47" i="3" a="1"/>
  <c r="C48" i="3" a="1"/>
  <c r="C49" i="3" a="1"/>
  <c r="C50" i="3" a="1"/>
  <c r="C51" i="3" a="1"/>
  <c r="C52" i="3" a="1"/>
  <c r="C53" i="3" a="1"/>
  <c r="C54" i="3" a="1"/>
  <c r="C55" i="3" a="1"/>
  <c r="C56" i="3" a="1"/>
  <c r="C57" i="3" a="1"/>
  <c r="C2" i="3" a="1"/>
  <c r="B3" i="3" a="1"/>
  <c r="B4" i="3" a="1"/>
  <c r="B5" i="3" a="1"/>
  <c r="B6" i="3" a="1"/>
  <c r="B7" i="3" a="1"/>
  <c r="B8" i="3" a="1"/>
  <c r="B9" i="3" a="1"/>
  <c r="B10" i="3" a="1"/>
  <c r="B11" i="3" a="1"/>
  <c r="B12" i="3" a="1"/>
  <c r="B13" i="3" a="1"/>
  <c r="B14" i="3" a="1"/>
  <c r="B15" i="3" a="1"/>
  <c r="B16" i="3" a="1"/>
  <c r="B17" i="3" a="1"/>
  <c r="B18" i="3" a="1"/>
  <c r="B19" i="3" a="1"/>
  <c r="B20" i="3" a="1"/>
  <c r="B21" i="3" a="1"/>
  <c r="B22" i="3" a="1"/>
  <c r="B23" i="3" a="1"/>
  <c r="B24" i="3" a="1"/>
  <c r="B25" i="3" a="1"/>
  <c r="B26" i="3" a="1"/>
  <c r="B27" i="3" a="1"/>
  <c r="B28" i="3" a="1"/>
  <c r="B29" i="3" a="1"/>
  <c r="B30" i="3" a="1"/>
  <c r="B31" i="3" a="1"/>
  <c r="B32" i="3" a="1"/>
  <c r="B33" i="3" a="1"/>
  <c r="B34" i="3" a="1"/>
  <c r="B35" i="3" a="1"/>
  <c r="B36" i="3" a="1"/>
  <c r="B37" i="3" a="1"/>
  <c r="B38" i="3" a="1"/>
  <c r="B39" i="3" a="1"/>
  <c r="B40" i="3" a="1"/>
  <c r="B41" i="3" a="1"/>
  <c r="B42" i="3" a="1"/>
  <c r="B43" i="3" a="1"/>
  <c r="B44" i="3" a="1"/>
  <c r="B45" i="3" a="1"/>
  <c r="B46" i="3" a="1"/>
  <c r="B47" i="3" a="1"/>
  <c r="B48" i="3" a="1"/>
  <c r="B49" i="3" a="1"/>
  <c r="B50" i="3" a="1"/>
  <c r="B51" i="3" a="1"/>
  <c r="B52" i="3" a="1"/>
  <c r="B53" i="3" a="1"/>
  <c r="B54" i="3" a="1"/>
  <c r="B55" i="3" a="1"/>
  <c r="B56" i="3" a="1"/>
  <c r="B2" i="3" a="1"/>
  <c r="B2" i="2" a="1"/>
  <c r="G3" i="2" a="1"/>
  <c r="G4" i="2" a="1"/>
  <c r="G5" i="2" a="1"/>
  <c r="G6" i="2" a="1"/>
  <c r="G7" i="2" a="1"/>
  <c r="G8" i="2" a="1"/>
  <c r="G9" i="2" a="1"/>
  <c r="G10" i="2" a="1"/>
  <c r="G11" i="2" a="1"/>
  <c r="G12" i="2" a="1"/>
  <c r="G13" i="2" a="1"/>
  <c r="G14" i="2" a="1"/>
  <c r="G15" i="2" a="1"/>
  <c r="G16" i="2" a="1"/>
  <c r="G17" i="2" a="1"/>
  <c r="G18" i="2" a="1"/>
  <c r="G19" i="2" a="1"/>
  <c r="G20" i="2" a="1"/>
  <c r="G21" i="2" a="1"/>
  <c r="G22" i="2" a="1"/>
  <c r="G23" i="2" a="1"/>
  <c r="G24" i="2" a="1"/>
  <c r="G25" i="2" a="1"/>
  <c r="G26" i="2" a="1"/>
  <c r="G27" i="2" a="1"/>
  <c r="G28" i="2" a="1"/>
  <c r="G29" i="2" a="1"/>
  <c r="C3" i="2" a="1"/>
  <c r="C4" i="2" a="1"/>
  <c r="C5" i="2" a="1"/>
  <c r="C6" i="2" a="1"/>
  <c r="C7" i="2" a="1"/>
  <c r="C8" i="2" a="1"/>
  <c r="C9" i="2" a="1"/>
  <c r="C10" i="2" a="1"/>
  <c r="C11" i="2" a="1"/>
  <c r="C12" i="2" a="1"/>
  <c r="C13" i="2" a="1"/>
  <c r="C14" i="2" a="1"/>
  <c r="C15" i="2" a="1"/>
  <c r="C16" i="2" a="1"/>
  <c r="C17" i="2" a="1"/>
  <c r="C18" i="2" a="1"/>
  <c r="C19" i="2" a="1"/>
  <c r="C20" i="2" a="1"/>
  <c r="C21" i="2" a="1"/>
  <c r="C22" i="2" a="1"/>
  <c r="C23" i="2" a="1"/>
  <c r="C24" i="2" a="1"/>
  <c r="C25" i="2" a="1"/>
  <c r="C26" i="2" a="1"/>
  <c r="C27" i="2" a="1"/>
  <c r="C28" i="2" a="1"/>
  <c r="C29" i="2" a="1"/>
  <c r="C2" i="2" a="1"/>
  <c r="C3" i="1" a="1"/>
  <c r="C4" i="1" a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22" i="1" a="1"/>
  <c r="C23" i="1" a="1"/>
  <c r="C24" i="1" a="1"/>
  <c r="C25" i="1" a="1"/>
  <c r="C26" i="1" a="1"/>
  <c r="C27" i="1" a="1"/>
  <c r="C28" i="1" a="1"/>
  <c r="C29" i="1" a="1"/>
  <c r="C30" i="1" a="1"/>
  <c r="C31" i="1" a="1"/>
  <c r="C32" i="1" a="1"/>
  <c r="C33" i="1" a="1"/>
  <c r="C34" i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47" i="1" a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61" i="1" a="1"/>
  <c r="C62" i="1" a="1"/>
  <c r="C63" i="1" a="1"/>
  <c r="C64" i="1" a="1"/>
  <c r="C65" i="1" a="1"/>
  <c r="C66" i="1" a="1"/>
  <c r="C67" i="1" a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2" i="1" a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B32" i="1" a="1"/>
  <c r="B33" i="1" a="1"/>
  <c r="B34" i="1" a="1"/>
  <c r="B35" i="1" a="1"/>
  <c r="B36" i="1" a="1"/>
  <c r="B37" i="1" a="1"/>
  <c r="B38" i="1" a="1"/>
  <c r="B39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50" i="1" a="1"/>
  <c r="B51" i="1" a="1"/>
  <c r="B52" i="1" a="1"/>
  <c r="B53" i="1" a="1"/>
  <c r="B54" i="1" a="1"/>
  <c r="B55" i="1" a="1"/>
  <c r="B56" i="1" a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75" i="1" a="1"/>
  <c r="B76" i="1" a="1"/>
  <c r="B77" i="1" a="1"/>
  <c r="B78" i="1" a="1"/>
  <c r="B79" i="1" a="1"/>
  <c r="B80" i="1" a="1"/>
  <c r="B81" i="1" a="1"/>
  <c r="B82" i="1" a="1"/>
  <c r="B83" i="1" a="1"/>
  <c r="B84" i="1" a="1"/>
  <c r="B85" i="1" a="1"/>
  <c r="B2" i="1" a="1"/>
  <c r="B3" i="2" a="1"/>
  <c r="B4" i="2" a="1"/>
  <c r="B5" i="2" a="1"/>
  <c r="B6" i="2" a="1"/>
  <c r="B7" i="2" a="1"/>
  <c r="B8" i="2" a="1"/>
  <c r="B9" i="2" a="1"/>
  <c r="B10" i="2" a="1"/>
  <c r="B11" i="2" a="1"/>
  <c r="B12" i="2" a="1"/>
  <c r="B13" i="2" a="1"/>
  <c r="B14" i="2" a="1"/>
  <c r="B15" i="2" a="1"/>
  <c r="B16" i="2" a="1"/>
  <c r="B17" i="2" a="1"/>
  <c r="B18" i="2" a="1"/>
  <c r="B19" i="2" a="1"/>
  <c r="B20" i="2" a="1"/>
  <c r="B21" i="2" a="1"/>
  <c r="B22" i="2" a="1"/>
  <c r="B23" i="2" a="1"/>
  <c r="B24" i="2" a="1"/>
  <c r="B25" i="2" a="1"/>
  <c r="B26" i="2" a="1"/>
  <c r="B27" i="2" a="1"/>
  <c r="B28" i="2" a="1"/>
  <c r="B29" i="2" a="1"/>
  <c r="E27" i="2"/>
  <c r="F27" i="2" s="1"/>
  <c r="E15" i="2"/>
  <c r="F15" i="2" s="1"/>
  <c r="F3" i="2"/>
  <c r="F4" i="2"/>
  <c r="F5" i="2"/>
  <c r="F6" i="2"/>
  <c r="F7" i="2"/>
  <c r="F8" i="2"/>
  <c r="F9" i="2"/>
  <c r="F10" i="2"/>
  <c r="F11" i="2"/>
  <c r="F12" i="2"/>
  <c r="F13" i="2"/>
  <c r="F14" i="2"/>
  <c r="F16" i="2"/>
  <c r="F17" i="2"/>
  <c r="F18" i="2"/>
  <c r="F19" i="2"/>
  <c r="F20" i="2"/>
  <c r="F21" i="2"/>
  <c r="F22" i="2"/>
  <c r="F23" i="2"/>
  <c r="F24" i="2"/>
  <c r="F25" i="2"/>
  <c r="F26" i="2"/>
  <c r="F28" i="2"/>
  <c r="F29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<sst xmlns="http://schemas.openxmlformats.org/spreadsheetml/2006/main" count="190" uniqueCount="184">
  <si>
    <t>sample</t>
  </si>
  <si>
    <t>weight (g)</t>
  </si>
  <si>
    <t>I-AUHV-A</t>
  </si>
  <si>
    <t>I-AUHV-B</t>
  </si>
  <si>
    <t>I-AUHV-C</t>
  </si>
  <si>
    <t>I-MNHV-A</t>
  </si>
  <si>
    <t>I-MNHV-B</t>
  </si>
  <si>
    <t>I-MNHV-C</t>
  </si>
  <si>
    <t>I-BWW-A</t>
  </si>
  <si>
    <t>I-BWW-B</t>
  </si>
  <si>
    <t>I-BWW-C</t>
  </si>
  <si>
    <t>I-SWW-A</t>
  </si>
  <si>
    <t>I-SWW-B</t>
  </si>
  <si>
    <t>I-SWW-C</t>
  </si>
  <si>
    <t>I-ORG-A</t>
  </si>
  <si>
    <t>I-ORG-B</t>
  </si>
  <si>
    <t>I-ORG-C</t>
  </si>
  <si>
    <t>I-PRY-A</t>
  </si>
  <si>
    <t>I-PRY-B</t>
  </si>
  <si>
    <t>I-PRY-C</t>
  </si>
  <si>
    <t>I-RCL-A</t>
  </si>
  <si>
    <t>I-RCL-B</t>
  </si>
  <si>
    <t>I-RCL-C</t>
  </si>
  <si>
    <t>II-AUHV-A</t>
  </si>
  <si>
    <t>II-AUHV-B</t>
  </si>
  <si>
    <t>II-AUHV-C</t>
  </si>
  <si>
    <t>II-MNHV-A</t>
  </si>
  <si>
    <t>II-MNHV-B</t>
  </si>
  <si>
    <t>II-MNHV-C</t>
  </si>
  <si>
    <t>II-BWW-A</t>
  </si>
  <si>
    <t>II-BWW-B</t>
  </si>
  <si>
    <t>II-BWW-C</t>
  </si>
  <si>
    <t>II-SWW-A</t>
  </si>
  <si>
    <t>II-SWW-B</t>
  </si>
  <si>
    <t>II-SWW-C</t>
  </si>
  <si>
    <t>II-ORG-A</t>
  </si>
  <si>
    <t>II-ORG-B</t>
  </si>
  <si>
    <t>II-ORG-C</t>
  </si>
  <si>
    <t>II-PRY-A</t>
  </si>
  <si>
    <t>II-PRY-B</t>
  </si>
  <si>
    <t>II-PRY-C</t>
  </si>
  <si>
    <t>II-RCL-A</t>
  </si>
  <si>
    <t>II-RCL-B</t>
  </si>
  <si>
    <t>II-RCL-C</t>
  </si>
  <si>
    <t>III-AUHV-A</t>
  </si>
  <si>
    <t>III-AUHV-B</t>
  </si>
  <si>
    <t>III-AUHV-C</t>
  </si>
  <si>
    <t>III-MNHV-A</t>
  </si>
  <si>
    <t>III-MNHV-B</t>
  </si>
  <si>
    <t>III-MNHV-C</t>
  </si>
  <si>
    <t>III-BWW-A</t>
  </si>
  <si>
    <t>III-BWW-B</t>
  </si>
  <si>
    <t>III-BWW-C</t>
  </si>
  <si>
    <t>III-SWW-A</t>
  </si>
  <si>
    <t>III-SWW-B</t>
  </si>
  <si>
    <t>III-SWW-C</t>
  </si>
  <si>
    <t>III-ORG-A</t>
  </si>
  <si>
    <t>III-ORG-B</t>
  </si>
  <si>
    <t>III-ORG-C</t>
  </si>
  <si>
    <t>III-PRY-A</t>
  </si>
  <si>
    <t>III-PRY-B</t>
  </si>
  <si>
    <t>III-PRY-C</t>
  </si>
  <si>
    <t>III-RCL-A</t>
  </si>
  <si>
    <t>III-RCL-B</t>
  </si>
  <si>
    <t>III-RCL-C</t>
  </si>
  <si>
    <t>IV-AUHV-A</t>
  </si>
  <si>
    <t>IV-AUHV-B</t>
  </si>
  <si>
    <t>IV-AUHV-C</t>
  </si>
  <si>
    <t>IV-MNHV-A</t>
  </si>
  <si>
    <t>IV-MNHV-B</t>
  </si>
  <si>
    <t>IV-MNHV-C</t>
  </si>
  <si>
    <t>IV-BWW-A</t>
  </si>
  <si>
    <t>IV-BWW-B</t>
  </si>
  <si>
    <t>IV-BWW-C</t>
  </si>
  <si>
    <t>IV-SWW-A</t>
  </si>
  <si>
    <t>IV-SWW-B</t>
  </si>
  <si>
    <t>IV-SWW-C</t>
  </si>
  <si>
    <t>IV-ORG-A</t>
  </si>
  <si>
    <t>IV-ORG-B</t>
  </si>
  <si>
    <t>IV-ORG-C</t>
  </si>
  <si>
    <t>IV-PRY-A</t>
  </si>
  <si>
    <t>IV-PRY-B</t>
  </si>
  <si>
    <t>IV-PRY-C</t>
  </si>
  <si>
    <t>IV-RCL-A</t>
  </si>
  <si>
    <t>IV-RCL-B</t>
  </si>
  <si>
    <t>IV-RCL-C</t>
  </si>
  <si>
    <t>in 0.25 M^2</t>
  </si>
  <si>
    <t>bag+biomass (g)</t>
  </si>
  <si>
    <t>bag</t>
  </si>
  <si>
    <t>dry_biomass_g</t>
  </si>
  <si>
    <t>I-AUHV</t>
  </si>
  <si>
    <t>I-MNHV</t>
  </si>
  <si>
    <t>I-BWW</t>
  </si>
  <si>
    <t>I-SWW</t>
  </si>
  <si>
    <t>I-ORG</t>
  </si>
  <si>
    <t>I-PRY</t>
  </si>
  <si>
    <t>I-RCL</t>
  </si>
  <si>
    <t>II-AUHV</t>
  </si>
  <si>
    <t>II-MNHV</t>
  </si>
  <si>
    <t>II-BWW</t>
  </si>
  <si>
    <t>II-SWW</t>
  </si>
  <si>
    <t>II-ORG</t>
  </si>
  <si>
    <t>II-PRY</t>
  </si>
  <si>
    <t>II-RCL</t>
  </si>
  <si>
    <t>III-AUHV</t>
  </si>
  <si>
    <t>III-MNHV</t>
  </si>
  <si>
    <t>III-BWW</t>
  </si>
  <si>
    <t>III-SWW</t>
  </si>
  <si>
    <t>III-ORG</t>
  </si>
  <si>
    <t>III-PRY</t>
  </si>
  <si>
    <t>III-RCL</t>
  </si>
  <si>
    <t>IV-AUHV</t>
  </si>
  <si>
    <t>IV-MNHV</t>
  </si>
  <si>
    <t>IV-BWW</t>
  </si>
  <si>
    <t>IV-SWW</t>
  </si>
  <si>
    <t>IV-ORG</t>
  </si>
  <si>
    <t>IV-PRY</t>
  </si>
  <si>
    <t>IV-RCL</t>
  </si>
  <si>
    <t>note</t>
  </si>
  <si>
    <t>avg_root_core_biomass_g</t>
  </si>
  <si>
    <t>plant</t>
  </si>
  <si>
    <t>rep</t>
  </si>
  <si>
    <t>did some aboveground biomass fall out?</t>
  </si>
  <si>
    <t xml:space="preserve">from 300 +/- 1 g field moist soil </t>
  </si>
  <si>
    <t>T2-III-AUHV-1</t>
  </si>
  <si>
    <t>T2-III-AUHV-2</t>
  </si>
  <si>
    <t>T2-III-BWW-1</t>
  </si>
  <si>
    <t>T2-III-BWW-2</t>
  </si>
  <si>
    <t>T2-III-MNHV-1</t>
  </si>
  <si>
    <t>T2-III-MNHV-2</t>
  </si>
  <si>
    <t>T2-III-ORG-1</t>
  </si>
  <si>
    <t>T2-III-ORG-2</t>
  </si>
  <si>
    <t>T2-III-PRY-1</t>
  </si>
  <si>
    <t>T2-III-PRY-2</t>
  </si>
  <si>
    <t>T2-III-RCL-1</t>
  </si>
  <si>
    <t>T2-III-RCL-2</t>
  </si>
  <si>
    <t>T2-III-SWW-1</t>
  </si>
  <si>
    <t>T2-III-SWW-2</t>
  </si>
  <si>
    <t>T2-I-AUHV-1</t>
  </si>
  <si>
    <t>T2-I-AUHV-2</t>
  </si>
  <si>
    <t>T2-I-BWW-1</t>
  </si>
  <si>
    <t>T2-I-BWW-2</t>
  </si>
  <si>
    <t>T2-I-MNHV-1</t>
  </si>
  <si>
    <t>T2-I-MNHV-2</t>
  </si>
  <si>
    <t>T2-I-ORG-1</t>
  </si>
  <si>
    <t>T2-I-ORG-2</t>
  </si>
  <si>
    <t>T2-I-PRY-1</t>
  </si>
  <si>
    <t>T2-I-PRY-2</t>
  </si>
  <si>
    <t>T2-I-RCL-1</t>
  </si>
  <si>
    <t>T2-I-RCL-2</t>
  </si>
  <si>
    <t>T2-I-SWW-1</t>
  </si>
  <si>
    <t>T2-I-SWW-2</t>
  </si>
  <si>
    <t>T2-II-AUHV-1</t>
  </si>
  <si>
    <t>T2-II-AUHV-2</t>
  </si>
  <si>
    <t>T2-II-BWW-1</t>
  </si>
  <si>
    <t>T2-II-BWW-2</t>
  </si>
  <si>
    <t>T2-II-MNHV-1</t>
  </si>
  <si>
    <t>T2-II-MNHV-2</t>
  </si>
  <si>
    <t>T2-II-ORG-1</t>
  </si>
  <si>
    <t>T2-II-ORG-2</t>
  </si>
  <si>
    <t>T2-II-PRY-1</t>
  </si>
  <si>
    <t>T2-II-PRY-2</t>
  </si>
  <si>
    <t>T2-II-RCL-1</t>
  </si>
  <si>
    <t>T2-II-RCL-2</t>
  </si>
  <si>
    <t>T2-II-SWW-1</t>
  </si>
  <si>
    <t>T2-II-SWW-2</t>
  </si>
  <si>
    <t>T2-IV-AUHV-1</t>
  </si>
  <si>
    <t>T2-IV-AUHV-2</t>
  </si>
  <si>
    <t>T2-IV-BWW-1</t>
  </si>
  <si>
    <t>T2-IV-BWW-2</t>
  </si>
  <si>
    <t>T2-IV-MNHV-1</t>
  </si>
  <si>
    <t>T2-IV-MNHV-2</t>
  </si>
  <si>
    <t>T2-IV-ORG-1</t>
  </si>
  <si>
    <t>T2-IV-ORG-2</t>
  </si>
  <si>
    <t>T2-IV-PRY-1</t>
  </si>
  <si>
    <t>T2-IV-PRY-2</t>
  </si>
  <si>
    <t>T2-IV-RCL-1</t>
  </si>
  <si>
    <t>T2-IV-RCL-2</t>
  </si>
  <si>
    <t>T2-IV-SWW-1</t>
  </si>
  <si>
    <t>T2-IV-SWW-2</t>
  </si>
  <si>
    <t>percent_dw</t>
  </si>
  <si>
    <t>SWW</t>
  </si>
  <si>
    <t>avg_root_per_300g_dry_soil</t>
  </si>
  <si>
    <t>soil_proportion_dw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</si>
</sst>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287620297462813E-2"/>
                  <c:y val="-8.97047244094488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Aboveground_and_avg_root!$F$2:$F$29</c:f>
              <c:numCache>
                <c:formatCode>General</c:formatCode>
                <c:ptCount val="28"/>
                <c:pt idx="0">
                  <c:v>48.64</c:v>
                </c:pt>
                <c:pt idx="1">
                  <c:v>35.14</c:v>
                </c:pt>
                <c:pt idx="2">
                  <c:v>24.26</c:v>
                </c:pt>
                <c:pt idx="3">
                  <c:v>43.16</c:v>
                </c:pt>
                <c:pt idx="4">
                  <c:v>83.83</c:v>
                </c:pt>
                <c:pt idx="5">
                  <c:v>32.539999999999992</c:v>
                </c:pt>
                <c:pt idx="6">
                  <c:v>50.1</c:v>
                </c:pt>
                <c:pt idx="7">
                  <c:v>24.22</c:v>
                </c:pt>
                <c:pt idx="8">
                  <c:v>46.66</c:v>
                </c:pt>
                <c:pt idx="9">
                  <c:v>81</c:v>
                </c:pt>
                <c:pt idx="10">
                  <c:v>48.19</c:v>
                </c:pt>
                <c:pt idx="11">
                  <c:v>101.67</c:v>
                </c:pt>
                <c:pt idx="12">
                  <c:v>99.5</c:v>
                </c:pt>
                <c:pt idx="13">
                  <c:v>47.5</c:v>
                </c:pt>
                <c:pt idx="14">
                  <c:v>34.789999999999992</c:v>
                </c:pt>
                <c:pt idx="15">
                  <c:v>23.67</c:v>
                </c:pt>
                <c:pt idx="16">
                  <c:v>27.680000000000003</c:v>
                </c:pt>
                <c:pt idx="17">
                  <c:v>24.88</c:v>
                </c:pt>
                <c:pt idx="18">
                  <c:v>47.36999999999999</c:v>
                </c:pt>
                <c:pt idx="19">
                  <c:v>90.51</c:v>
                </c:pt>
                <c:pt idx="20">
                  <c:v>47.84</c:v>
                </c:pt>
                <c:pt idx="21">
                  <c:v>11.260000000000002</c:v>
                </c:pt>
                <c:pt idx="22">
                  <c:v>43.39</c:v>
                </c:pt>
                <c:pt idx="23">
                  <c:v>52.699999999999996</c:v>
                </c:pt>
                <c:pt idx="24">
                  <c:v>13.309999999999999</c:v>
                </c:pt>
                <c:pt idx="25">
                  <c:v>58.730000000000004</c:v>
                </c:pt>
                <c:pt idx="26">
                  <c:v>62.34</c:v>
                </c:pt>
                <c:pt idx="27">
                  <c:v>38.33</c:v>
                </c:pt>
              </c:numCache>
            </c:numRef>
          </c:xVal>
          <c:yVal>
            <c:numRef>
              <c:f>Aboveground_and_avg_root!$I$2:$I$29</c:f>
              <c:numCache>
                <c:formatCode>General</c:formatCode>
                <c:ptCount val="28"/>
                <c:pt idx="0">
                  <c:v>0.16738601874990131</c:v>
                </c:pt>
                <c:pt idx="1">
                  <c:v>9.543649081104541E-2</c:v>
                </c:pt>
                <c:pt idx="2">
                  <c:v>6.2598481262163608E-2</c:v>
                </c:pt>
                <c:pt idx="3">
                  <c:v>7.9044428854059962E-2</c:v>
                </c:pt>
                <c:pt idx="4">
                  <c:v>0.45798552628186062</c:v>
                </c:pt>
                <c:pt idx="5">
                  <c:v>0.462941934886824</c:v>
                </c:pt>
                <c:pt idx="6">
                  <c:v>0.18708975837032063</c:v>
                </c:pt>
                <c:pt idx="7">
                  <c:v>6.0526233505450382E-2</c:v>
                </c:pt>
                <c:pt idx="8">
                  <c:v>7.9092561171034165E-2</c:v>
                </c:pt>
                <c:pt idx="9">
                  <c:v>6.5449331696411511E-2</c:v>
                </c:pt>
                <c:pt idx="10">
                  <c:v>7.1651930311975448E-2</c:v>
                </c:pt>
                <c:pt idx="11">
                  <c:v>1.1942258960382286</c:v>
                </c:pt>
                <c:pt idx="12">
                  <c:v>0.61877915510324455</c:v>
                </c:pt>
                <c:pt idx="13">
                  <c:v>0.2951523052117353</c:v>
                </c:pt>
                <c:pt idx="14">
                  <c:v>0.10928522264190355</c:v>
                </c:pt>
                <c:pt idx="15">
                  <c:v>0.14589014449113669</c:v>
                </c:pt>
                <c:pt idx="16">
                  <c:v>5.5926026374469681E-2</c:v>
                </c:pt>
                <c:pt idx="17">
                  <c:v>4.0015864993246532E-2</c:v>
                </c:pt>
                <c:pt idx="18">
                  <c:v>0.4647875053304435</c:v>
                </c:pt>
                <c:pt idx="19">
                  <c:v>0.63763825395941953</c:v>
                </c:pt>
                <c:pt idx="20">
                  <c:v>0.24565392816157203</c:v>
                </c:pt>
                <c:pt idx="21">
                  <c:v>5.0038252402630247E-2</c:v>
                </c:pt>
                <c:pt idx="22">
                  <c:v>7.6795403117374622E-2</c:v>
                </c:pt>
                <c:pt idx="23">
                  <c:v>5.7314841397669958E-2</c:v>
                </c:pt>
                <c:pt idx="24">
                  <c:v>2.7164866969808563E-2</c:v>
                </c:pt>
                <c:pt idx="25">
                  <c:v>0.44986614088864157</c:v>
                </c:pt>
                <c:pt idx="26">
                  <c:v>0.46544997995845816</c:v>
                </c:pt>
                <c:pt idx="27">
                  <c:v>0.23528384094984514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1-E848-9D71-F14605D84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534383"/>
        <c:axId val="1393397552"/>
      </c:scatterChart>
      <c:valAx>
        <c:axId val="67553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Abovegound biomass (g) in 0.25 M^2 subplot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97552"/>
        <c:crosses val="autoZero"/>
        <c:crossBetween val="midCat"/>
      </c:valAx>
      <c:valAx>
        <c:axId val="13933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Root biomass (g)</a:t>
                </a:r>
                <a:r>
                  <a:rPr lang="en-US" baseline="0"/>
                  <a:t> in 300 g dry soil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3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88604</xdr:colOff>
      <xdr:row>10</xdr:row>
      <xdr:rowOff>90375</xdr:rowOff>
    </xdr:from>
    <xdr:to>
      <xdr:col>16</xdr:col>
      <xdr:colOff>162440</xdr:colOff>
      <xdr:row>28</xdr:row>
      <xdr:rowOff>191977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BB4748-1B7A-B41A-ED09-4DE208510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1F8F-CE4C-4441-8427-8B7CCE64AFAF}">
  <dimension ref="A1:F85"/>
  <sheetViews>
    <sheetView workbookViewId="0">
      <selection activeCell="G13" sqref="G13"/>
    </sheetView>
  </sheetViews>
  <sheetFormatPr baseColWidth="10" defaultRowHeight="16" x14ac:dyDescent="0.2"/>
  <cols>
    <col min="6" max="6" width="26" customWidth="1"/>
  </cols>
  <sheetData>
    <row r="1" spans="1:6" x14ac:dyDescent="0.2">
      <c r="A1" t="s">
        <v>0</v>
      </c>
      <c r="B1" t="s">
        <v>120</v>
      </c>
      <c r="C1" t="s">
        <v>121</v>
      </c>
      <c r="D1" t="s">
        <v>1</v>
      </c>
      <c r="F1" t="s">
        <v>123</v>
      </c>
    </row>
    <row r="2" spans="1:6" x14ac:dyDescent="0.2">
      <c r="A2" t="s">
        <v>2</v>
      </c>
      <c r="B2" t="str" cm="1">
        <f t="array" ref="B2">_xlfn.IFS(
ISNUMBER(SEARCH("*AUHV*",A2)),"AUHV",
ISNUMBER(SEARCH("*MNHV*",A2)),"MNHV",
ISNUMBER(SEARCH("*BWW*",A2)),"BWW",
ISNUMBER(SEARCH("*SWW*",A2)),"SWW",
ISNUMBER(SEARCH("*ORG*",A2)),"ORG",
ISNUMBER(SEARCH("*PRY*",A2)),"PRY",
ISNUMBER(SEARCH("*RCL*",A2)),"RCL"
)</f>
        <v>AUHV</v>
      </c>
      <c r="C2" t="str" cm="1">
        <f t="array" ref="C2">_xlfn.IFS(
ISNUMBER(SEARCH("IV*",A2)),"IV",
ISNUMBER(SEARCH("III*",A2)),"III",
ISNUMBER(SEARCH("II*",A2)),"II",
ISNUMBER(SEARCH("I*",A2)),"I")</f>
        <v>I</v>
      </c>
      <c r="D2">
        <v>0.20180000000000001</v>
      </c>
    </row>
    <row r="3" spans="1:6" x14ac:dyDescent="0.2">
      <c r="A3" t="s">
        <v>3</v>
      </c>
      <c r="B3" t="str" cm="1">
        <f t="array" ref="B3">_xlfn.IFS(
ISNUMBER(SEARCH("*AUHV*",A3)),"AUHV",
ISNUMBER(SEARCH("*MNHV*",A3)),"MNHV",
ISNUMBER(SEARCH("*BWW*",A3)),"BWW",
ISNUMBER(SEARCH("*SWW*",A3)),"SWW",
ISNUMBER(SEARCH("*ORG*",A3)),"ORG",
ISNUMBER(SEARCH("*PRY*",A3)),"PRY",
ISNUMBER(SEARCH("*RCL*",A3)),"RCL"
)</f>
        <v>AUHV</v>
      </c>
      <c r="C3" t="str" cm="1">
        <f t="array" ref="C3">_xlfn.IFS(
ISNUMBER(SEARCH("IV*",A3)),"IV",
ISNUMBER(SEARCH("III*",A3)),"III",
ISNUMBER(SEARCH("II*",A3)),"II",
ISNUMBER(SEARCH("I*",A3)),"I")</f>
        <v>I</v>
      </c>
      <c r="D3">
        <v>0.15909999999999999</v>
      </c>
    </row>
    <row r="4" spans="1:6" x14ac:dyDescent="0.2">
      <c r="A4" t="s">
        <v>4</v>
      </c>
      <c r="B4" t="str" cm="1">
        <f t="array" ref="B4">_xlfn.IFS(
ISNUMBER(SEARCH("*AUHV*",A4)),"AUHV",
ISNUMBER(SEARCH("*MNHV*",A4)),"MNHV",
ISNUMBER(SEARCH("*BWW*",A4)),"BWW",
ISNUMBER(SEARCH("*SWW*",A4)),"SWW",
ISNUMBER(SEARCH("*ORG*",A4)),"ORG",
ISNUMBER(SEARCH("*PRY*",A4)),"PRY",
ISNUMBER(SEARCH("*RCL*",A4)),"RCL"
)</f>
        <v>AUHV</v>
      </c>
      <c r="C4" t="str" cm="1">
        <f t="array" ref="C4">_xlfn.IFS(
ISNUMBER(SEARCH("IV*",A4)),"IV",
ISNUMBER(SEARCH("III*",A4)),"III",
ISNUMBER(SEARCH("II*",A4)),"II",
ISNUMBER(SEARCH("I*",A4)),"I")</f>
        <v>I</v>
      </c>
      <c r="D4">
        <v>0.218</v>
      </c>
    </row>
    <row r="5" spans="1:6" x14ac:dyDescent="0.2">
      <c r="A5" t="s">
        <v>5</v>
      </c>
      <c r="B5" t="str" cm="1">
        <f t="array" ref="B5">_xlfn.IFS(
ISNUMBER(SEARCH("*AUHV*",A5)),"AUHV",
ISNUMBER(SEARCH("*MNHV*",A5)),"MNHV",
ISNUMBER(SEARCH("*BWW*",A5)),"BWW",
ISNUMBER(SEARCH("*SWW*",A5)),"SWW",
ISNUMBER(SEARCH("*ORG*",A5)),"ORG",
ISNUMBER(SEARCH("*PRY*",A5)),"PRY",
ISNUMBER(SEARCH("*RCL*",A5)),"RCL"
)</f>
        <v>MNHV</v>
      </c>
      <c r="C5" t="str" cm="1">
        <f t="array" ref="C5">_xlfn.IFS(
ISNUMBER(SEARCH("IV*",A5)),"IV",
ISNUMBER(SEARCH("III*",A5)),"III",
ISNUMBER(SEARCH("II*",A5)),"II",
ISNUMBER(SEARCH("I*",A5)),"I")</f>
        <v>I</v>
      </c>
      <c r="D5">
        <v>0.1535</v>
      </c>
    </row>
    <row r="6" spans="1:6" x14ac:dyDescent="0.2">
      <c r="A6" t="s">
        <v>6</v>
      </c>
      <c r="B6" t="str" cm="1">
        <f t="array" ref="B6">_xlfn.IFS(
ISNUMBER(SEARCH("*AUHV*",A6)),"AUHV",
ISNUMBER(SEARCH("*MNHV*",A6)),"MNHV",
ISNUMBER(SEARCH("*BWW*",A6)),"BWW",
ISNUMBER(SEARCH("*SWW*",A6)),"SWW",
ISNUMBER(SEARCH("*ORG*",A6)),"ORG",
ISNUMBER(SEARCH("*PRY*",A6)),"PRY",
ISNUMBER(SEARCH("*RCL*",A6)),"RCL"
)</f>
        <v>MNHV</v>
      </c>
      <c r="C6" t="str" cm="1">
        <f t="array" ref="C6">_xlfn.IFS(
ISNUMBER(SEARCH("IV*",A6)),"IV",
ISNUMBER(SEARCH("III*",A6)),"III",
ISNUMBER(SEARCH("II*",A6)),"II",
ISNUMBER(SEARCH("I*",A6)),"I")</f>
        <v>I</v>
      </c>
      <c r="D6">
        <v>0.1087</v>
      </c>
    </row>
    <row r="7" spans="1:6" x14ac:dyDescent="0.2">
      <c r="A7" t="s">
        <v>7</v>
      </c>
      <c r="B7" t="str" cm="1">
        <f t="array" ref="B7">_xlfn.IFS(
ISNUMBER(SEARCH("*AUHV*",A7)),"AUHV",
ISNUMBER(SEARCH("*MNHV*",A7)),"MNHV",
ISNUMBER(SEARCH("*BWW*",A7)),"BWW",
ISNUMBER(SEARCH("*SWW*",A7)),"SWW",
ISNUMBER(SEARCH("*ORG*",A7)),"ORG",
ISNUMBER(SEARCH("*PRY*",A7)),"PRY",
ISNUMBER(SEARCH("*RCL*",A7)),"RCL"
)</f>
        <v>MNHV</v>
      </c>
      <c r="C7" t="str" cm="1">
        <f t="array" ref="C7">_xlfn.IFS(
ISNUMBER(SEARCH("IV*",A7)),"IV",
ISNUMBER(SEARCH("III*",A7)),"III",
ISNUMBER(SEARCH("II*",A7)),"II",
ISNUMBER(SEARCH("I*",A7)),"I")</f>
        <v>I</v>
      </c>
      <c r="D7">
        <v>7.7299999999999994E-2</v>
      </c>
    </row>
    <row r="8" spans="1:6" x14ac:dyDescent="0.2">
      <c r="A8" t="s">
        <v>8</v>
      </c>
      <c r="B8" t="str" cm="1">
        <f t="array" ref="B8">_xlfn.IFS(
ISNUMBER(SEARCH("*AUHV*",A8)),"AUHV",
ISNUMBER(SEARCH("*MNHV*",A8)),"MNHV",
ISNUMBER(SEARCH("*BWW*",A8)),"BWW",
ISNUMBER(SEARCH("*SWW*",A8)),"SWW",
ISNUMBER(SEARCH("*ORG*",A8)),"ORG",
ISNUMBER(SEARCH("*PRY*",A8)),"PRY",
ISNUMBER(SEARCH("*RCL*",A8)),"RCL"
)</f>
        <v>BWW</v>
      </c>
      <c r="C8" t="str" cm="1">
        <f t="array" ref="C8">_xlfn.IFS(
ISNUMBER(SEARCH("IV*",A8)),"IV",
ISNUMBER(SEARCH("III*",A8)),"III",
ISNUMBER(SEARCH("II*",A8)),"II",
ISNUMBER(SEARCH("I*",A8)),"I")</f>
        <v>I</v>
      </c>
      <c r="D8">
        <v>5.9799999999999999E-2</v>
      </c>
    </row>
    <row r="9" spans="1:6" x14ac:dyDescent="0.2">
      <c r="A9" t="s">
        <v>9</v>
      </c>
      <c r="B9" t="str" cm="1">
        <f t="array" ref="B9">_xlfn.IFS(
ISNUMBER(SEARCH("*AUHV*",A9)),"AUHV",
ISNUMBER(SEARCH("*MNHV*",A9)),"MNHV",
ISNUMBER(SEARCH("*BWW*",A9)),"BWW",
ISNUMBER(SEARCH("*SWW*",A9)),"SWW",
ISNUMBER(SEARCH("*ORG*",A9)),"ORG",
ISNUMBER(SEARCH("*PRY*",A9)),"PRY",
ISNUMBER(SEARCH("*RCL*",A9)),"RCL"
)</f>
        <v>BWW</v>
      </c>
      <c r="C9" t="str" cm="1">
        <f t="array" ref="C9">_xlfn.IFS(
ISNUMBER(SEARCH("IV*",A9)),"IV",
ISNUMBER(SEARCH("III*",A9)),"III",
ISNUMBER(SEARCH("II*",A9)),"II",
ISNUMBER(SEARCH("I*",A9)),"I")</f>
        <v>I</v>
      </c>
      <c r="D9">
        <v>8.0100000000000005E-2</v>
      </c>
    </row>
    <row r="10" spans="1:6" x14ac:dyDescent="0.2">
      <c r="A10" t="s">
        <v>10</v>
      </c>
      <c r="B10" t="str" cm="1">
        <f t="array" ref="B10">_xlfn.IFS(
ISNUMBER(SEARCH("*AUHV*",A10)),"AUHV",
ISNUMBER(SEARCH("*MNHV*",A10)),"MNHV",
ISNUMBER(SEARCH("*BWW*",A10)),"BWW",
ISNUMBER(SEARCH("*SWW*",A10)),"SWW",
ISNUMBER(SEARCH("*ORG*",A10)),"ORG",
ISNUMBER(SEARCH("*PRY*",A10)),"PRY",
ISNUMBER(SEARCH("*RCL*",A10)),"RCL"
)</f>
        <v>BWW</v>
      </c>
      <c r="C10" t="str" cm="1">
        <f t="array" ref="C10">_xlfn.IFS(
ISNUMBER(SEARCH("IV*",A10)),"IV",
ISNUMBER(SEARCH("III*",A10)),"III",
ISNUMBER(SEARCH("II*",A10)),"II",
ISNUMBER(SEARCH("I*",A10)),"I")</f>
        <v>I</v>
      </c>
      <c r="D10">
        <v>7.8899999999999998E-2</v>
      </c>
    </row>
    <row r="11" spans="1:6" x14ac:dyDescent="0.2">
      <c r="A11" t="s">
        <v>11</v>
      </c>
      <c r="B11" t="str" cm="1">
        <f t="array" ref="B11">_xlfn.IFS(
ISNUMBER(SEARCH("*AUHV*",A11)),"AUHV",
ISNUMBER(SEARCH("*MNHV*",A11)),"MNHV",
ISNUMBER(SEARCH("*BWW*",A11)),"BWW",
ISNUMBER(SEARCH("*SWW*",A11)),"SWW",
ISNUMBER(SEARCH("*ORG*",A11)),"ORG",
ISNUMBER(SEARCH("*PRY*",A11)),"PRY",
ISNUMBER(SEARCH("*RCL*",A11)),"RCL"
)</f>
        <v>SWW</v>
      </c>
      <c r="C11" t="str" cm="1">
        <f t="array" ref="C11">_xlfn.IFS(
ISNUMBER(SEARCH("IV*",A11)),"IV",
ISNUMBER(SEARCH("III*",A11)),"III",
ISNUMBER(SEARCH("II*",A11)),"II",
ISNUMBER(SEARCH("I*",A11)),"I")</f>
        <v>I</v>
      </c>
      <c r="D11">
        <v>5.9299999999999999E-2</v>
      </c>
    </row>
    <row r="12" spans="1:6" x14ac:dyDescent="0.2">
      <c r="A12" t="s">
        <v>12</v>
      </c>
      <c r="B12" t="str" cm="1">
        <f t="array" ref="B12">_xlfn.IFS(
ISNUMBER(SEARCH("*AUHV*",A12)),"AUHV",
ISNUMBER(SEARCH("*MNHV*",A12)),"MNHV",
ISNUMBER(SEARCH("*BWW*",A12)),"BWW",
ISNUMBER(SEARCH("*SWW*",A12)),"SWW",
ISNUMBER(SEARCH("*ORG*",A12)),"ORG",
ISNUMBER(SEARCH("*PRY*",A12)),"PRY",
ISNUMBER(SEARCH("*RCL*",A12)),"RCL"
)</f>
        <v>SWW</v>
      </c>
      <c r="C12" t="str" cm="1">
        <f t="array" ref="C12">_xlfn.IFS(
ISNUMBER(SEARCH("IV*",A12)),"IV",
ISNUMBER(SEARCH("III*",A12)),"III",
ISNUMBER(SEARCH("II*",A12)),"II",
ISNUMBER(SEARCH("I*",A12)),"I")</f>
        <v>I</v>
      </c>
      <c r="D12">
        <v>0.11559999999999999</v>
      </c>
    </row>
    <row r="13" spans="1:6" x14ac:dyDescent="0.2">
      <c r="A13" t="s">
        <v>13</v>
      </c>
      <c r="B13" t="str" cm="1">
        <f t="array" ref="B13">_xlfn.IFS(
ISNUMBER(SEARCH("*AUHV*",A13)),"AUHV",
ISNUMBER(SEARCH("*MNHV*",A13)),"MNHV",
ISNUMBER(SEARCH("*BWW*",A13)),"BWW",
ISNUMBER(SEARCH("*SWW*",A13)),"SWW",
ISNUMBER(SEARCH("*ORG*",A13)),"ORG",
ISNUMBER(SEARCH("*PRY*",A13)),"PRY",
ISNUMBER(SEARCH("*RCL*",A13)),"RCL"
)</f>
        <v>SWW</v>
      </c>
      <c r="C13" t="str" cm="1">
        <f t="array" ref="C13">_xlfn.IFS(
ISNUMBER(SEARCH("IV*",A13)),"IV",
ISNUMBER(SEARCH("III*",A13)),"III",
ISNUMBER(SEARCH("II*",A13)),"II",
ISNUMBER(SEARCH("I*",A13)),"I")</f>
        <v>I</v>
      </c>
      <c r="D13">
        <v>0.10199999999999999</v>
      </c>
    </row>
    <row r="14" spans="1:6" x14ac:dyDescent="0.2">
      <c r="A14" s="1" t="s">
        <v>14</v>
      </c>
      <c r="B14" t="str" cm="1">
        <f t="array" ref="B14">_xlfn.IFS(
ISNUMBER(SEARCH("*AUHV*",A14)),"AUHV",
ISNUMBER(SEARCH("*MNHV*",A14)),"MNHV",
ISNUMBER(SEARCH("*BWW*",A14)),"BWW",
ISNUMBER(SEARCH("*SWW*",A14)),"SWW",
ISNUMBER(SEARCH("*ORG*",A14)),"ORG",
ISNUMBER(SEARCH("*PRY*",A14)),"PRY",
ISNUMBER(SEARCH("*RCL*",A14)),"RCL"
)</f>
        <v>ORG</v>
      </c>
      <c r="C14" t="str" cm="1">
        <f t="array" ref="C14">_xlfn.IFS(
ISNUMBER(SEARCH("IV*",A14)),"IV",
ISNUMBER(SEARCH("III*",A14)),"III",
ISNUMBER(SEARCH("II*",A14)),"II",
ISNUMBER(SEARCH("I*",A14)),"I")</f>
        <v>I</v>
      </c>
      <c r="D14">
        <v>0.58599999999999997</v>
      </c>
    </row>
    <row r="15" spans="1:6" x14ac:dyDescent="0.2">
      <c r="A15" s="1" t="s">
        <v>15</v>
      </c>
      <c r="B15" t="str" cm="1">
        <f t="array" ref="B15">_xlfn.IFS(
ISNUMBER(SEARCH("*AUHV*",A15)),"AUHV",
ISNUMBER(SEARCH("*MNHV*",A15)),"MNHV",
ISNUMBER(SEARCH("*BWW*",A15)),"BWW",
ISNUMBER(SEARCH("*SWW*",A15)),"SWW",
ISNUMBER(SEARCH("*ORG*",A15)),"ORG",
ISNUMBER(SEARCH("*PRY*",A15)),"PRY",
ISNUMBER(SEARCH("*RCL*",A15)),"RCL"
)</f>
        <v>ORG</v>
      </c>
      <c r="C15" t="str" cm="1">
        <f t="array" ref="C15">_xlfn.IFS(
ISNUMBER(SEARCH("IV*",A15)),"IV",
ISNUMBER(SEARCH("III*",A15)),"III",
ISNUMBER(SEARCH("II*",A15)),"II",
ISNUMBER(SEARCH("I*",A15)),"I")</f>
        <v>I</v>
      </c>
      <c r="D15">
        <v>0.3291</v>
      </c>
    </row>
    <row r="16" spans="1:6" x14ac:dyDescent="0.2">
      <c r="A16" s="1" t="s">
        <v>16</v>
      </c>
      <c r="B16" t="str" cm="1">
        <f t="array" ref="B16">_xlfn.IFS(
ISNUMBER(SEARCH("*AUHV*",A16)),"AUHV",
ISNUMBER(SEARCH("*MNHV*",A16)),"MNHV",
ISNUMBER(SEARCH("*BWW*",A16)),"BWW",
ISNUMBER(SEARCH("*SWW*",A16)),"SWW",
ISNUMBER(SEARCH("*ORG*",A16)),"ORG",
ISNUMBER(SEARCH("*PRY*",A16)),"PRY",
ISNUMBER(SEARCH("*RCL*",A16)),"RCL"
)</f>
        <v>ORG</v>
      </c>
      <c r="C16" t="str" cm="1">
        <f t="array" ref="C16">_xlfn.IFS(
ISNUMBER(SEARCH("IV*",A16)),"IV",
ISNUMBER(SEARCH("III*",A16)),"III",
ISNUMBER(SEARCH("II*",A16)),"II",
ISNUMBER(SEARCH("I*",A16)),"I")</f>
        <v>I</v>
      </c>
      <c r="D16">
        <v>0.83209999999999995</v>
      </c>
    </row>
    <row r="17" spans="1:4" x14ac:dyDescent="0.2">
      <c r="A17" s="1" t="s">
        <v>17</v>
      </c>
      <c r="B17" t="str" cm="1">
        <f t="array" ref="B17">_xlfn.IFS(
ISNUMBER(SEARCH("*AUHV*",A17)),"AUHV",
ISNUMBER(SEARCH("*MNHV*",A17)),"MNHV",
ISNUMBER(SEARCH("*BWW*",A17)),"BWW",
ISNUMBER(SEARCH("*SWW*",A17)),"SWW",
ISNUMBER(SEARCH("*ORG*",A17)),"ORG",
ISNUMBER(SEARCH("*PRY*",A17)),"PRY",
ISNUMBER(SEARCH("*RCL*",A17)),"RCL"
)</f>
        <v>PRY</v>
      </c>
      <c r="C17" t="str" cm="1">
        <f t="array" ref="C17">_xlfn.IFS(
ISNUMBER(SEARCH("IV*",A17)),"IV",
ISNUMBER(SEARCH("III*",A17)),"III",
ISNUMBER(SEARCH("II*",A17)),"II",
ISNUMBER(SEARCH("I*",A17)),"I")</f>
        <v>I</v>
      </c>
      <c r="D17">
        <v>0.45669999999999999</v>
      </c>
    </row>
    <row r="18" spans="1:4" x14ac:dyDescent="0.2">
      <c r="A18" s="1" t="s">
        <v>18</v>
      </c>
      <c r="B18" t="str" cm="1">
        <f t="array" ref="B18">_xlfn.IFS(
ISNUMBER(SEARCH("*AUHV*",A18)),"AUHV",
ISNUMBER(SEARCH("*MNHV*",A18)),"MNHV",
ISNUMBER(SEARCH("*BWW*",A18)),"BWW",
ISNUMBER(SEARCH("*SWW*",A18)),"SWW",
ISNUMBER(SEARCH("*ORG*",A18)),"ORG",
ISNUMBER(SEARCH("*PRY*",A18)),"PRY",
ISNUMBER(SEARCH("*RCL*",A18)),"RCL"
)</f>
        <v>PRY</v>
      </c>
      <c r="C18" t="str" cm="1">
        <f t="array" ref="C18">_xlfn.IFS(
ISNUMBER(SEARCH("IV*",A18)),"IV",
ISNUMBER(SEARCH("III*",A18)),"III",
ISNUMBER(SEARCH("II*",A18)),"II",
ISNUMBER(SEARCH("I*",A18)),"I")</f>
        <v>I</v>
      </c>
      <c r="D18">
        <v>0.51160000000000005</v>
      </c>
    </row>
    <row r="19" spans="1:4" x14ac:dyDescent="0.2">
      <c r="A19" s="1" t="s">
        <v>19</v>
      </c>
      <c r="B19" t="str" cm="1">
        <f t="array" ref="B19">_xlfn.IFS(
ISNUMBER(SEARCH("*AUHV*",A19)),"AUHV",
ISNUMBER(SEARCH("*MNHV*",A19)),"MNHV",
ISNUMBER(SEARCH("*BWW*",A19)),"BWW",
ISNUMBER(SEARCH("*SWW*",A19)),"SWW",
ISNUMBER(SEARCH("*ORG*",A19)),"ORG",
ISNUMBER(SEARCH("*PRY*",A19)),"PRY",
ISNUMBER(SEARCH("*RCL*",A19)),"RCL"
)</f>
        <v>PRY</v>
      </c>
      <c r="C19" t="str" cm="1">
        <f t="array" ref="C19">_xlfn.IFS(
ISNUMBER(SEARCH("IV*",A19)),"IV",
ISNUMBER(SEARCH("III*",A19)),"III",
ISNUMBER(SEARCH("II*",A19)),"II",
ISNUMBER(SEARCH("I*",A19)),"I")</f>
        <v>I</v>
      </c>
      <c r="D19">
        <v>0.60680000000000001</v>
      </c>
    </row>
    <row r="20" spans="1:4" x14ac:dyDescent="0.2">
      <c r="A20" s="1" t="s">
        <v>20</v>
      </c>
      <c r="B20" t="str" cm="1">
        <f t="array" ref="B20">_xlfn.IFS(
ISNUMBER(SEARCH("*AUHV*",A20)),"AUHV",
ISNUMBER(SEARCH("*MNHV*",A20)),"MNHV",
ISNUMBER(SEARCH("*BWW*",A20)),"BWW",
ISNUMBER(SEARCH("*SWW*",A20)),"SWW",
ISNUMBER(SEARCH("*ORG*",A20)),"ORG",
ISNUMBER(SEARCH("*PRY*",A20)),"PRY",
ISNUMBER(SEARCH("*RCL*",A20)),"RCL"
)</f>
        <v>RCL</v>
      </c>
      <c r="C20" t="str" cm="1">
        <f t="array" ref="C20">_xlfn.IFS(
ISNUMBER(SEARCH("IV*",A20)),"IV",
ISNUMBER(SEARCH("III*",A20)),"III",
ISNUMBER(SEARCH("II*",A20)),"II",
ISNUMBER(SEARCH("I*",A20)),"I")</f>
        <v>I</v>
      </c>
      <c r="D20">
        <v>0.31090000000000001</v>
      </c>
    </row>
    <row r="21" spans="1:4" x14ac:dyDescent="0.2">
      <c r="A21" s="1" t="s">
        <v>21</v>
      </c>
      <c r="B21" t="str" cm="1">
        <f t="array" ref="B21">_xlfn.IFS(
ISNUMBER(SEARCH("*AUHV*",A21)),"AUHV",
ISNUMBER(SEARCH("*MNHV*",A21)),"MNHV",
ISNUMBER(SEARCH("*BWW*",A21)),"BWW",
ISNUMBER(SEARCH("*SWW*",A21)),"SWW",
ISNUMBER(SEARCH("*ORG*",A21)),"ORG",
ISNUMBER(SEARCH("*PRY*",A21)),"PRY",
ISNUMBER(SEARCH("*RCL*",A21)),"RCL"
)</f>
        <v>RCL</v>
      </c>
      <c r="C21" t="str" cm="1">
        <f t="array" ref="C21">_xlfn.IFS(
ISNUMBER(SEARCH("IV*",A21)),"IV",
ISNUMBER(SEARCH("III*",A21)),"III",
ISNUMBER(SEARCH("II*",A21)),"II",
ISNUMBER(SEARCH("I*",A21)),"I")</f>
        <v>I</v>
      </c>
      <c r="D21">
        <v>0.13980000000000001</v>
      </c>
    </row>
    <row r="22" spans="1:4" x14ac:dyDescent="0.2">
      <c r="A22" s="1" t="s">
        <v>22</v>
      </c>
      <c r="B22" t="str" cm="1">
        <f t="array" ref="B22">_xlfn.IFS(
ISNUMBER(SEARCH("*AUHV*",A22)),"AUHV",
ISNUMBER(SEARCH("*MNHV*",A22)),"MNHV",
ISNUMBER(SEARCH("*BWW*",A22)),"BWW",
ISNUMBER(SEARCH("*SWW*",A22)),"SWW",
ISNUMBER(SEARCH("*ORG*",A22)),"ORG",
ISNUMBER(SEARCH("*PRY*",A22)),"PRY",
ISNUMBER(SEARCH("*RCL*",A22)),"RCL"
)</f>
        <v>RCL</v>
      </c>
      <c r="C22" t="str" cm="1">
        <f t="array" ref="C22">_xlfn.IFS(
ISNUMBER(SEARCH("IV*",A22)),"IV",
ISNUMBER(SEARCH("III*",A22)),"III",
ISNUMBER(SEARCH("II*",A22)),"II",
ISNUMBER(SEARCH("I*",A22)),"I")</f>
        <v>I</v>
      </c>
      <c r="D22">
        <v>0.21340000000000001</v>
      </c>
    </row>
    <row r="23" spans="1:4" x14ac:dyDescent="0.2">
      <c r="A23" t="s">
        <v>23</v>
      </c>
      <c r="B23" t="str" cm="1">
        <f t="array" ref="B23">_xlfn.IFS(
ISNUMBER(SEARCH("*AUHV*",A23)),"AUHV",
ISNUMBER(SEARCH("*MNHV*",A23)),"MNHV",
ISNUMBER(SEARCH("*BWW*",A23)),"BWW",
ISNUMBER(SEARCH("*SWW*",A23)),"SWW",
ISNUMBER(SEARCH("*ORG*",A23)),"ORG",
ISNUMBER(SEARCH("*PRY*",A23)),"PRY",
ISNUMBER(SEARCH("*RCL*",A23)),"RCL"
)</f>
        <v>AUHV</v>
      </c>
      <c r="C23" t="str" cm="1">
        <f t="array" ref="C23">_xlfn.IFS(
ISNUMBER(SEARCH("IV*",A23)),"IV",
ISNUMBER(SEARCH("III*",A23)),"III",
ISNUMBER(SEARCH("II*",A23)),"II",
ISNUMBER(SEARCH("I*",A23)),"I")</f>
        <v>II</v>
      </c>
      <c r="D23">
        <v>0.1079</v>
      </c>
    </row>
    <row r="24" spans="1:4" x14ac:dyDescent="0.2">
      <c r="A24" t="s">
        <v>24</v>
      </c>
      <c r="B24" t="str" cm="1">
        <f t="array" ref="B24">_xlfn.IFS(
ISNUMBER(SEARCH("*AUHV*",A24)),"AUHV",
ISNUMBER(SEARCH("*MNHV*",A24)),"MNHV",
ISNUMBER(SEARCH("*BWW*",A24)),"BWW",
ISNUMBER(SEARCH("*SWW*",A24)),"SWW",
ISNUMBER(SEARCH("*ORG*",A24)),"ORG",
ISNUMBER(SEARCH("*PRY*",A24)),"PRY",
ISNUMBER(SEARCH("*RCL*",A24)),"RCL"
)</f>
        <v>AUHV</v>
      </c>
      <c r="C24" t="str" cm="1">
        <f t="array" ref="C24">_xlfn.IFS(
ISNUMBER(SEARCH("IV*",A24)),"IV",
ISNUMBER(SEARCH("III*",A24)),"III",
ISNUMBER(SEARCH("II*",A24)),"II",
ISNUMBER(SEARCH("I*",A24)),"I")</f>
        <v>II</v>
      </c>
      <c r="D24">
        <v>5.0799999999999998E-2</v>
      </c>
    </row>
    <row r="25" spans="1:4" x14ac:dyDescent="0.2">
      <c r="A25" t="s">
        <v>25</v>
      </c>
      <c r="B25" t="str" cm="1">
        <f t="array" ref="B25">_xlfn.IFS(
ISNUMBER(SEARCH("*AUHV*",A25)),"AUHV",
ISNUMBER(SEARCH("*MNHV*",A25)),"MNHV",
ISNUMBER(SEARCH("*BWW*",A25)),"BWW",
ISNUMBER(SEARCH("*SWW*",A25)),"SWW",
ISNUMBER(SEARCH("*ORG*",A25)),"ORG",
ISNUMBER(SEARCH("*PRY*",A25)),"PRY",
ISNUMBER(SEARCH("*RCL*",A25)),"RCL"
)</f>
        <v>AUHV</v>
      </c>
      <c r="C25" t="str" cm="1">
        <f t="array" ref="C25">_xlfn.IFS(
ISNUMBER(SEARCH("IV*",A25)),"IV",
ISNUMBER(SEARCH("III*",A25)),"III",
ISNUMBER(SEARCH("II*",A25)),"II",
ISNUMBER(SEARCH("I*",A25)),"I")</f>
        <v>II</v>
      </c>
      <c r="D25">
        <v>5.2400000000000002E-2</v>
      </c>
    </row>
    <row r="26" spans="1:4" x14ac:dyDescent="0.2">
      <c r="A26" t="s">
        <v>26</v>
      </c>
      <c r="B26" t="str" cm="1">
        <f t="array" ref="B26">_xlfn.IFS(
ISNUMBER(SEARCH("*AUHV*",A26)),"AUHV",
ISNUMBER(SEARCH("*MNHV*",A26)),"MNHV",
ISNUMBER(SEARCH("*BWW*",A26)),"BWW",
ISNUMBER(SEARCH("*SWW*",A26)),"SWW",
ISNUMBER(SEARCH("*ORG*",A26)),"ORG",
ISNUMBER(SEARCH("*PRY*",A26)),"PRY",
ISNUMBER(SEARCH("*RCL*",A26)),"RCL"
)</f>
        <v>MNHV</v>
      </c>
      <c r="C26" t="str" cm="1">
        <f t="array" ref="C26">_xlfn.IFS(
ISNUMBER(SEARCH("IV*",A26)),"IV",
ISNUMBER(SEARCH("III*",A26)),"III",
ISNUMBER(SEARCH("II*",A26)),"II",
ISNUMBER(SEARCH("I*",A26)),"I")</f>
        <v>II</v>
      </c>
      <c r="D26">
        <v>0.1135</v>
      </c>
    </row>
    <row r="27" spans="1:4" x14ac:dyDescent="0.2">
      <c r="A27" t="s">
        <v>27</v>
      </c>
      <c r="B27" t="str" cm="1">
        <f t="array" ref="B27">_xlfn.IFS(
ISNUMBER(SEARCH("*AUHV*",A27)),"AUHV",
ISNUMBER(SEARCH("*MNHV*",A27)),"MNHV",
ISNUMBER(SEARCH("*BWW*",A27)),"BWW",
ISNUMBER(SEARCH("*SWW*",A27)),"SWW",
ISNUMBER(SEARCH("*ORG*",A27)),"ORG",
ISNUMBER(SEARCH("*PRY*",A27)),"PRY",
ISNUMBER(SEARCH("*RCL*",A27)),"RCL"
)</f>
        <v>MNHV</v>
      </c>
      <c r="C27" t="str" cm="1">
        <f t="array" ref="C27">_xlfn.IFS(
ISNUMBER(SEARCH("IV*",A27)),"IV",
ISNUMBER(SEARCH("III*",A27)),"III",
ISNUMBER(SEARCH("II*",A27)),"II",
ISNUMBER(SEARCH("I*",A27)),"I")</f>
        <v>II</v>
      </c>
      <c r="D27">
        <v>9.0399999999999994E-2</v>
      </c>
    </row>
    <row r="28" spans="1:4" x14ac:dyDescent="0.2">
      <c r="A28" t="s">
        <v>28</v>
      </c>
      <c r="B28" t="str" cm="1">
        <f t="array" ref="B28">_xlfn.IFS(
ISNUMBER(SEARCH("*AUHV*",A28)),"AUHV",
ISNUMBER(SEARCH("*MNHV*",A28)),"MNHV",
ISNUMBER(SEARCH("*BWW*",A28)),"BWW",
ISNUMBER(SEARCH("*SWW*",A28)),"SWW",
ISNUMBER(SEARCH("*ORG*",A28)),"ORG",
ISNUMBER(SEARCH("*PRY*",A28)),"PRY",
ISNUMBER(SEARCH("*RCL*",A28)),"RCL"
)</f>
        <v>MNHV</v>
      </c>
      <c r="C28" t="str" cm="1">
        <f t="array" ref="C28">_xlfn.IFS(
ISNUMBER(SEARCH("IV*",A28)),"IV",
ISNUMBER(SEARCH("III*",A28)),"III",
ISNUMBER(SEARCH("II*",A28)),"II",
ISNUMBER(SEARCH("I*",A28)),"I")</f>
        <v>II</v>
      </c>
      <c r="D28">
        <v>7.0199999999999999E-2</v>
      </c>
    </row>
    <row r="29" spans="1:4" x14ac:dyDescent="0.2">
      <c r="A29" t="s">
        <v>29</v>
      </c>
      <c r="B29" t="str" cm="1">
        <f t="array" ref="B29">_xlfn.IFS(
ISNUMBER(SEARCH("*AUHV*",A29)),"AUHV",
ISNUMBER(SEARCH("*MNHV*",A29)),"MNHV",
ISNUMBER(SEARCH("*BWW*",A29)),"BWW",
ISNUMBER(SEARCH("*SWW*",A29)),"SWW",
ISNUMBER(SEARCH("*ORG*",A29)),"ORG",
ISNUMBER(SEARCH("*PRY*",A29)),"PRY",
ISNUMBER(SEARCH("*RCL*",A29)),"RCL"
)</f>
        <v>BWW</v>
      </c>
      <c r="C29" t="str" cm="1">
        <f t="array" ref="C29">_xlfn.IFS(
ISNUMBER(SEARCH("IV*",A29)),"IV",
ISNUMBER(SEARCH("III*",A29)),"III",
ISNUMBER(SEARCH("II*",A29)),"II",
ISNUMBER(SEARCH("I*",A29)),"I")</f>
        <v>II</v>
      </c>
      <c r="D29">
        <v>9.0899999999999995E-2</v>
      </c>
    </row>
    <row r="30" spans="1:4" x14ac:dyDescent="0.2">
      <c r="A30" t="s">
        <v>30</v>
      </c>
      <c r="B30" t="str" cm="1">
        <f t="array" ref="B30">_xlfn.IFS(
ISNUMBER(SEARCH("*AUHV*",A30)),"AUHV",
ISNUMBER(SEARCH("*MNHV*",A30)),"MNHV",
ISNUMBER(SEARCH("*BWW*",A30)),"BWW",
ISNUMBER(SEARCH("*SWW*",A30)),"SWW",
ISNUMBER(SEARCH("*ORG*",A30)),"ORG",
ISNUMBER(SEARCH("*PRY*",A30)),"PRY",
ISNUMBER(SEARCH("*RCL*",A30)),"RCL"
)</f>
        <v>BWW</v>
      </c>
      <c r="C30" t="str" cm="1">
        <f t="array" ref="C30">_xlfn.IFS(
ISNUMBER(SEARCH("IV*",A30)),"IV",
ISNUMBER(SEARCH("III*",A30)),"III",
ISNUMBER(SEARCH("II*",A30)),"II",
ISNUMBER(SEARCH("I*",A30)),"I")</f>
        <v>II</v>
      </c>
      <c r="D30">
        <v>7.7700000000000005E-2</v>
      </c>
    </row>
    <row r="31" spans="1:4" x14ac:dyDescent="0.2">
      <c r="A31" t="s">
        <v>31</v>
      </c>
      <c r="B31" t="str" cm="1">
        <f t="array" ref="B31">_xlfn.IFS(
ISNUMBER(SEARCH("*AUHV*",A31)),"AUHV",
ISNUMBER(SEARCH("*MNHV*",A31)),"MNHV",
ISNUMBER(SEARCH("*BWW*",A31)),"BWW",
ISNUMBER(SEARCH("*SWW*",A31)),"SWW",
ISNUMBER(SEARCH("*ORG*",A31)),"ORG",
ISNUMBER(SEARCH("*PRY*",A31)),"PRY",
ISNUMBER(SEARCH("*RCL*",A31)),"RCL"
)</f>
        <v>BWW</v>
      </c>
      <c r="C31" t="str" cm="1">
        <f t="array" ref="C31">_xlfn.IFS(
ISNUMBER(SEARCH("IV*",A31)),"IV",
ISNUMBER(SEARCH("III*",A31)),"III",
ISNUMBER(SEARCH("II*",A31)),"II",
ISNUMBER(SEARCH("I*",A31)),"I")</f>
        <v>II</v>
      </c>
      <c r="D31">
        <v>6.2700000000000006E-2</v>
      </c>
    </row>
    <row r="32" spans="1:4" x14ac:dyDescent="0.2">
      <c r="A32" t="s">
        <v>32</v>
      </c>
      <c r="B32" t="str" cm="1">
        <f t="array" ref="B32">_xlfn.IFS(
ISNUMBER(SEARCH("*AUHV*",A32)),"AUHV",
ISNUMBER(SEARCH("*MNHV*",A32)),"MNHV",
ISNUMBER(SEARCH("*BWW*",A32)),"BWW",
ISNUMBER(SEARCH("*SWW*",A32)),"SWW",
ISNUMBER(SEARCH("*ORG*",A32)),"ORG",
ISNUMBER(SEARCH("*PRY*",A32)),"PRY",
ISNUMBER(SEARCH("*RCL*",A32)),"RCL"
)</f>
        <v>SWW</v>
      </c>
      <c r="C32" t="str" cm="1">
        <f t="array" ref="C32">_xlfn.IFS(
ISNUMBER(SEARCH("IV*",A32)),"IV",
ISNUMBER(SEARCH("III*",A32)),"III",
ISNUMBER(SEARCH("II*",A32)),"II",
ISNUMBER(SEARCH("I*",A32)),"I")</f>
        <v>II</v>
      </c>
      <c r="D32">
        <v>9.5299999999999996E-2</v>
      </c>
    </row>
    <row r="33" spans="1:4" x14ac:dyDescent="0.2">
      <c r="A33" t="s">
        <v>33</v>
      </c>
      <c r="B33" t="str" cm="1">
        <f t="array" ref="B33">_xlfn.IFS(
ISNUMBER(SEARCH("*AUHV*",A33)),"AUHV",
ISNUMBER(SEARCH("*MNHV*",A33)),"MNHV",
ISNUMBER(SEARCH("*BWW*",A33)),"BWW",
ISNUMBER(SEARCH("*SWW*",A33)),"SWW",
ISNUMBER(SEARCH("*ORG*",A33)),"ORG",
ISNUMBER(SEARCH("*PRY*",A33)),"PRY",
ISNUMBER(SEARCH("*RCL*",A33)),"RCL"
)</f>
        <v>SWW</v>
      </c>
      <c r="C33" t="str" cm="1">
        <f t="array" ref="C33">_xlfn.IFS(
ISNUMBER(SEARCH("IV*",A33)),"IV",
ISNUMBER(SEARCH("III*",A33)),"III",
ISNUMBER(SEARCH("II*",A33)),"II",
ISNUMBER(SEARCH("I*",A33)),"I")</f>
        <v>II</v>
      </c>
      <c r="D33">
        <v>7.0499999999999993E-2</v>
      </c>
    </row>
    <row r="34" spans="1:4" x14ac:dyDescent="0.2">
      <c r="A34" t="s">
        <v>34</v>
      </c>
      <c r="B34" t="str" cm="1">
        <f t="array" ref="B34">_xlfn.IFS(
ISNUMBER(SEARCH("*AUHV*",A34)),"AUHV",
ISNUMBER(SEARCH("*MNHV*",A34)),"MNHV",
ISNUMBER(SEARCH("*BWW*",A34)),"BWW",
ISNUMBER(SEARCH("*SWW*",A34)),"SWW",
ISNUMBER(SEARCH("*ORG*",A34)),"ORG",
ISNUMBER(SEARCH("*PRY*",A34)),"PRY",
ISNUMBER(SEARCH("*RCL*",A34)),"RCL"
)</f>
        <v>SWW</v>
      </c>
      <c r="C34" t="str" cm="1">
        <f t="array" ref="C34">_xlfn.IFS(
ISNUMBER(SEARCH("IV*",A34)),"IV",
ISNUMBER(SEARCH("III*",A34)),"III",
ISNUMBER(SEARCH("II*",A34)),"II",
ISNUMBER(SEARCH("I*",A34)),"I")</f>
        <v>II</v>
      </c>
      <c r="D34">
        <v>7.8200000000000006E-2</v>
      </c>
    </row>
    <row r="35" spans="1:4" x14ac:dyDescent="0.2">
      <c r="A35" s="1" t="s">
        <v>35</v>
      </c>
      <c r="B35" t="str" cm="1">
        <f t="array" ref="B35">_xlfn.IFS(
ISNUMBER(SEARCH("*AUHV*",A35)),"AUHV",
ISNUMBER(SEARCH("*MNHV*",A35)),"MNHV",
ISNUMBER(SEARCH("*BWW*",A35)),"BWW",
ISNUMBER(SEARCH("*SWW*",A35)),"SWW",
ISNUMBER(SEARCH("*ORG*",A35)),"ORG",
ISNUMBER(SEARCH("*PRY*",A35)),"PRY",
ISNUMBER(SEARCH("*RCL*",A35)),"RCL"
)</f>
        <v>ORG</v>
      </c>
      <c r="C35" t="str" cm="1">
        <f t="array" ref="C35">_xlfn.IFS(
ISNUMBER(SEARCH("IV*",A35)),"IV",
ISNUMBER(SEARCH("III*",A35)),"III",
ISNUMBER(SEARCH("II*",A35)),"II",
ISNUMBER(SEARCH("I*",A35)),"I")</f>
        <v>II</v>
      </c>
      <c r="D35">
        <v>1.3411999999999999</v>
      </c>
    </row>
    <row r="36" spans="1:4" x14ac:dyDescent="0.2">
      <c r="A36" s="1" t="s">
        <v>36</v>
      </c>
      <c r="B36" t="str" cm="1">
        <f t="array" ref="B36">_xlfn.IFS(
ISNUMBER(SEARCH("*AUHV*",A36)),"AUHV",
ISNUMBER(SEARCH("*MNHV*",A36)),"MNHV",
ISNUMBER(SEARCH("*BWW*",A36)),"BWW",
ISNUMBER(SEARCH("*SWW*",A36)),"SWW",
ISNUMBER(SEARCH("*ORG*",A36)),"ORG",
ISNUMBER(SEARCH("*PRY*",A36)),"PRY",
ISNUMBER(SEARCH("*RCL*",A36)),"RCL"
)</f>
        <v>ORG</v>
      </c>
      <c r="C36" t="str" cm="1">
        <f t="array" ref="C36">_xlfn.IFS(
ISNUMBER(SEARCH("IV*",A36)),"IV",
ISNUMBER(SEARCH("III*",A36)),"III",
ISNUMBER(SEARCH("II*",A36)),"II",
ISNUMBER(SEARCH("I*",A36)),"I")</f>
        <v>II</v>
      </c>
      <c r="D36">
        <v>1.5718000000000001</v>
      </c>
    </row>
    <row r="37" spans="1:4" x14ac:dyDescent="0.2">
      <c r="A37" s="1" t="s">
        <v>37</v>
      </c>
      <c r="B37" t="str" cm="1">
        <f t="array" ref="B37">_xlfn.IFS(
ISNUMBER(SEARCH("*AUHV*",A37)),"AUHV",
ISNUMBER(SEARCH("*MNHV*",A37)),"MNHV",
ISNUMBER(SEARCH("*BWW*",A37)),"BWW",
ISNUMBER(SEARCH("*SWW*",A37)),"SWW",
ISNUMBER(SEARCH("*ORG*",A37)),"ORG",
ISNUMBER(SEARCH("*PRY*",A37)),"PRY",
ISNUMBER(SEARCH("*RCL*",A37)),"RCL"
)</f>
        <v>ORG</v>
      </c>
      <c r="C37" t="str" cm="1">
        <f t="array" ref="C37">_xlfn.IFS(
ISNUMBER(SEARCH("IV*",A37)),"IV",
ISNUMBER(SEARCH("III*",A37)),"III",
ISNUMBER(SEARCH("II*",A37)),"II",
ISNUMBER(SEARCH("I*",A37)),"I")</f>
        <v>II</v>
      </c>
      <c r="D37">
        <v>1.0938000000000001</v>
      </c>
    </row>
    <row r="38" spans="1:4" x14ac:dyDescent="0.2">
      <c r="A38" s="1" t="s">
        <v>38</v>
      </c>
      <c r="B38" t="str" cm="1">
        <f t="array" ref="B38">_xlfn.IFS(
ISNUMBER(SEARCH("*AUHV*",A38)),"AUHV",
ISNUMBER(SEARCH("*MNHV*",A38)),"MNHV",
ISNUMBER(SEARCH("*BWW*",A38)),"BWW",
ISNUMBER(SEARCH("*SWW*",A38)),"SWW",
ISNUMBER(SEARCH("*ORG*",A38)),"ORG",
ISNUMBER(SEARCH("*PRY*",A38)),"PRY",
ISNUMBER(SEARCH("*RCL*",A38)),"RCL"
)</f>
        <v>PRY</v>
      </c>
      <c r="C38" t="str" cm="1">
        <f t="array" ref="C38">_xlfn.IFS(
ISNUMBER(SEARCH("IV*",A38)),"IV",
ISNUMBER(SEARCH("III*",A38)),"III",
ISNUMBER(SEARCH("II*",A38)),"II",
ISNUMBER(SEARCH("I*",A38)),"I")</f>
        <v>II</v>
      </c>
      <c r="D38">
        <v>0.73060000000000003</v>
      </c>
    </row>
    <row r="39" spans="1:4" x14ac:dyDescent="0.2">
      <c r="A39" s="1" t="s">
        <v>39</v>
      </c>
      <c r="B39" t="str" cm="1">
        <f t="array" ref="B39">_xlfn.IFS(
ISNUMBER(SEARCH("*AUHV*",A39)),"AUHV",
ISNUMBER(SEARCH("*MNHV*",A39)),"MNHV",
ISNUMBER(SEARCH("*BWW*",A39)),"BWW",
ISNUMBER(SEARCH("*SWW*",A39)),"SWW",
ISNUMBER(SEARCH("*ORG*",A39)),"ORG",
ISNUMBER(SEARCH("*PRY*",A39)),"PRY",
ISNUMBER(SEARCH("*RCL*",A39)),"RCL"
)</f>
        <v>PRY</v>
      </c>
      <c r="C39" t="str" cm="1">
        <f t="array" ref="C39">_xlfn.IFS(
ISNUMBER(SEARCH("IV*",A39)),"IV",
ISNUMBER(SEARCH("III*",A39)),"III",
ISNUMBER(SEARCH("II*",A39)),"II",
ISNUMBER(SEARCH("I*",A39)),"I")</f>
        <v>II</v>
      </c>
      <c r="D39">
        <v>0.77</v>
      </c>
    </row>
    <row r="40" spans="1:4" x14ac:dyDescent="0.2">
      <c r="A40" s="1" t="s">
        <v>40</v>
      </c>
      <c r="B40" t="str" cm="1">
        <f t="array" ref="B40">_xlfn.IFS(
ISNUMBER(SEARCH("*AUHV*",A40)),"AUHV",
ISNUMBER(SEARCH("*MNHV*",A40)),"MNHV",
ISNUMBER(SEARCH("*BWW*",A40)),"BWW",
ISNUMBER(SEARCH("*SWW*",A40)),"SWW",
ISNUMBER(SEARCH("*ORG*",A40)),"ORG",
ISNUMBER(SEARCH("*PRY*",A40)),"PRY",
ISNUMBER(SEARCH("*RCL*",A40)),"RCL"
)</f>
        <v>PRY</v>
      </c>
      <c r="C40" t="str" cm="1">
        <f t="array" ref="C40">_xlfn.IFS(
ISNUMBER(SEARCH("IV*",A40)),"IV",
ISNUMBER(SEARCH("III*",A40)),"III",
ISNUMBER(SEARCH("II*",A40)),"II",
ISNUMBER(SEARCH("I*",A40)),"I")</f>
        <v>II</v>
      </c>
      <c r="D40">
        <v>0.60319999999999996</v>
      </c>
    </row>
    <row r="41" spans="1:4" x14ac:dyDescent="0.2">
      <c r="A41" s="1" t="s">
        <v>41</v>
      </c>
      <c r="B41" t="str" cm="1">
        <f t="array" ref="B41">_xlfn.IFS(
ISNUMBER(SEARCH("*AUHV*",A41)),"AUHV",
ISNUMBER(SEARCH("*MNHV*",A41)),"MNHV",
ISNUMBER(SEARCH("*BWW*",A41)),"BWW",
ISNUMBER(SEARCH("*SWW*",A41)),"SWW",
ISNUMBER(SEARCH("*ORG*",A41)),"ORG",
ISNUMBER(SEARCH("*PRY*",A41)),"PRY",
ISNUMBER(SEARCH("*RCL*",A41)),"RCL"
)</f>
        <v>RCL</v>
      </c>
      <c r="C41" t="str" cm="1">
        <f t="array" ref="C41">_xlfn.IFS(
ISNUMBER(SEARCH("IV*",A41)),"IV",
ISNUMBER(SEARCH("III*",A41)),"III",
ISNUMBER(SEARCH("II*",A41)),"II",
ISNUMBER(SEARCH("I*",A41)),"I")</f>
        <v>II</v>
      </c>
      <c r="D41">
        <v>0.3392</v>
      </c>
    </row>
    <row r="42" spans="1:4" x14ac:dyDescent="0.2">
      <c r="A42" s="1" t="s">
        <v>42</v>
      </c>
      <c r="B42" t="str" cm="1">
        <f t="array" ref="B42">_xlfn.IFS(
ISNUMBER(SEARCH("*AUHV*",A42)),"AUHV",
ISNUMBER(SEARCH("*MNHV*",A42)),"MNHV",
ISNUMBER(SEARCH("*BWW*",A42)),"BWW",
ISNUMBER(SEARCH("*SWW*",A42)),"SWW",
ISNUMBER(SEARCH("*ORG*",A42)),"ORG",
ISNUMBER(SEARCH("*PRY*",A42)),"PRY",
ISNUMBER(SEARCH("*RCL*",A42)),"RCL"
)</f>
        <v>RCL</v>
      </c>
      <c r="C42" t="str" cm="1">
        <f t="array" ref="C42">_xlfn.IFS(
ISNUMBER(SEARCH("IV*",A42)),"IV",
ISNUMBER(SEARCH("III*",A42)),"III",
ISNUMBER(SEARCH("II*",A42)),"II",
ISNUMBER(SEARCH("I*",A42)),"I")</f>
        <v>II</v>
      </c>
      <c r="D42">
        <v>0.30030000000000001</v>
      </c>
    </row>
    <row r="43" spans="1:4" x14ac:dyDescent="0.2">
      <c r="A43" s="1" t="s">
        <v>43</v>
      </c>
      <c r="B43" t="str" cm="1">
        <f t="array" ref="B43">_xlfn.IFS(
ISNUMBER(SEARCH("*AUHV*",A43)),"AUHV",
ISNUMBER(SEARCH("*MNHV*",A43)),"MNHV",
ISNUMBER(SEARCH("*BWW*",A43)),"BWW",
ISNUMBER(SEARCH("*SWW*",A43)),"SWW",
ISNUMBER(SEARCH("*ORG*",A43)),"ORG",
ISNUMBER(SEARCH("*PRY*",A43)),"PRY",
ISNUMBER(SEARCH("*RCL*",A43)),"RCL"
)</f>
        <v>RCL</v>
      </c>
      <c r="C43" t="str" cm="1">
        <f t="array" ref="C43">_xlfn.IFS(
ISNUMBER(SEARCH("IV*",A43)),"IV",
ISNUMBER(SEARCH("III*",A43)),"III",
ISNUMBER(SEARCH("II*",A43)),"II",
ISNUMBER(SEARCH("I*",A43)),"I")</f>
        <v>II</v>
      </c>
      <c r="D43">
        <v>0.37840000000000001</v>
      </c>
    </row>
    <row r="44" spans="1:4" x14ac:dyDescent="0.2">
      <c r="A44" s="1" t="s">
        <v>44</v>
      </c>
      <c r="B44" t="str" cm="1">
        <f t="array" ref="B44">_xlfn.IFS(
ISNUMBER(SEARCH("*AUHV*",A44)),"AUHV",
ISNUMBER(SEARCH("*MNHV*",A44)),"MNHV",
ISNUMBER(SEARCH("*BWW*",A44)),"BWW",
ISNUMBER(SEARCH("*SWW*",A44)),"SWW",
ISNUMBER(SEARCH("*ORG*",A44)),"ORG",
ISNUMBER(SEARCH("*PRY*",A44)),"PRY",
ISNUMBER(SEARCH("*RCL*",A44)),"RCL"
)</f>
        <v>AUHV</v>
      </c>
      <c r="C44" t="str" cm="1">
        <f t="array" ref="C44">_xlfn.IFS(
ISNUMBER(SEARCH("IV*",A44)),"IV",
ISNUMBER(SEARCH("III*",A44)),"III",
ISNUMBER(SEARCH("II*",A44)),"II",
ISNUMBER(SEARCH("I*",A44)),"I")</f>
        <v>III</v>
      </c>
      <c r="D44">
        <v>0.1447</v>
      </c>
    </row>
    <row r="45" spans="1:4" x14ac:dyDescent="0.2">
      <c r="A45" s="1" t="s">
        <v>45</v>
      </c>
      <c r="B45" t="str" cm="1">
        <f t="array" ref="B45">_xlfn.IFS(
ISNUMBER(SEARCH("*AUHV*",A45)),"AUHV",
ISNUMBER(SEARCH("*MNHV*",A45)),"MNHV",
ISNUMBER(SEARCH("*BWW*",A45)),"BWW",
ISNUMBER(SEARCH("*SWW*",A45)),"SWW",
ISNUMBER(SEARCH("*ORG*",A45)),"ORG",
ISNUMBER(SEARCH("*PRY*",A45)),"PRY",
ISNUMBER(SEARCH("*RCL*",A45)),"RCL"
)</f>
        <v>AUHV</v>
      </c>
      <c r="C45" t="str" cm="1">
        <f t="array" ref="C45">_xlfn.IFS(
ISNUMBER(SEARCH("IV*",A45)),"IV",
ISNUMBER(SEARCH("III*",A45)),"III",
ISNUMBER(SEARCH("II*",A45)),"II",
ISNUMBER(SEARCH("I*",A45)),"I")</f>
        <v>III</v>
      </c>
      <c r="D45">
        <v>0.1226</v>
      </c>
    </row>
    <row r="46" spans="1:4" x14ac:dyDescent="0.2">
      <c r="A46" s="1" t="s">
        <v>46</v>
      </c>
      <c r="B46" t="str" cm="1">
        <f t="array" ref="B46">_xlfn.IFS(
ISNUMBER(SEARCH("*AUHV*",A46)),"AUHV",
ISNUMBER(SEARCH("*MNHV*",A46)),"MNHV",
ISNUMBER(SEARCH("*BWW*",A46)),"BWW",
ISNUMBER(SEARCH("*SWW*",A46)),"SWW",
ISNUMBER(SEARCH("*ORG*",A46)),"ORG",
ISNUMBER(SEARCH("*PRY*",A46)),"PRY",
ISNUMBER(SEARCH("*RCL*",A46)),"RCL"
)</f>
        <v>AUHV</v>
      </c>
      <c r="C46" t="str" cm="1">
        <f t="array" ref="C46">_xlfn.IFS(
ISNUMBER(SEARCH("IV*",A46)),"IV",
ISNUMBER(SEARCH("III*",A46)),"III",
ISNUMBER(SEARCH("II*",A46)),"II",
ISNUMBER(SEARCH("I*",A46)),"I")</f>
        <v>III</v>
      </c>
      <c r="D46">
        <v>0.13800000000000001</v>
      </c>
    </row>
    <row r="47" spans="1:4" x14ac:dyDescent="0.2">
      <c r="A47" s="1" t="s">
        <v>47</v>
      </c>
      <c r="B47" t="str" cm="1">
        <f t="array" ref="B47">_xlfn.IFS(
ISNUMBER(SEARCH("*AUHV*",A47)),"AUHV",
ISNUMBER(SEARCH("*MNHV*",A47)),"MNHV",
ISNUMBER(SEARCH("*BWW*",A47)),"BWW",
ISNUMBER(SEARCH("*SWW*",A47)),"SWW",
ISNUMBER(SEARCH("*ORG*",A47)),"ORG",
ISNUMBER(SEARCH("*PRY*",A47)),"PRY",
ISNUMBER(SEARCH("*RCL*",A47)),"RCL"
)</f>
        <v>MNHV</v>
      </c>
      <c r="C47" t="str" cm="1">
        <f t="array" ref="C47">_xlfn.IFS(
ISNUMBER(SEARCH("IV*",A47)),"IV",
ISNUMBER(SEARCH("III*",A47)),"III",
ISNUMBER(SEARCH("II*",A47)),"II",
ISNUMBER(SEARCH("I*",A47)),"I")</f>
        <v>III</v>
      </c>
      <c r="D47">
        <v>0.16639999999999999</v>
      </c>
    </row>
    <row r="48" spans="1:4" x14ac:dyDescent="0.2">
      <c r="A48" s="1" t="s">
        <v>48</v>
      </c>
      <c r="B48" t="str" cm="1">
        <f t="array" ref="B48">_xlfn.IFS(
ISNUMBER(SEARCH("*AUHV*",A48)),"AUHV",
ISNUMBER(SEARCH("*MNHV*",A48)),"MNHV",
ISNUMBER(SEARCH("*BWW*",A48)),"BWW",
ISNUMBER(SEARCH("*SWW*",A48)),"SWW",
ISNUMBER(SEARCH("*ORG*",A48)),"ORG",
ISNUMBER(SEARCH("*PRY*",A48)),"PRY",
ISNUMBER(SEARCH("*RCL*",A48)),"RCL"
)</f>
        <v>MNHV</v>
      </c>
      <c r="C48" t="str" cm="1">
        <f t="array" ref="C48">_xlfn.IFS(
ISNUMBER(SEARCH("IV*",A48)),"IV",
ISNUMBER(SEARCH("III*",A48)),"III",
ISNUMBER(SEARCH("II*",A48)),"II",
ISNUMBER(SEARCH("I*",A48)),"I")</f>
        <v>III</v>
      </c>
      <c r="D48">
        <v>0.29039999999999999</v>
      </c>
    </row>
    <row r="49" spans="1:4" x14ac:dyDescent="0.2">
      <c r="A49" s="1" t="s">
        <v>49</v>
      </c>
      <c r="B49" t="str" cm="1">
        <f t="array" ref="B49">_xlfn.IFS(
ISNUMBER(SEARCH("*AUHV*",A49)),"AUHV",
ISNUMBER(SEARCH("*MNHV*",A49)),"MNHV",
ISNUMBER(SEARCH("*BWW*",A49)),"BWW",
ISNUMBER(SEARCH("*SWW*",A49)),"SWW",
ISNUMBER(SEARCH("*ORG*",A49)),"ORG",
ISNUMBER(SEARCH("*PRY*",A49)),"PRY",
ISNUMBER(SEARCH("*RCL*",A49)),"RCL"
)</f>
        <v>MNHV</v>
      </c>
      <c r="C49" t="str" cm="1">
        <f t="array" ref="C49">_xlfn.IFS(
ISNUMBER(SEARCH("IV*",A49)),"IV",
ISNUMBER(SEARCH("III*",A49)),"III",
ISNUMBER(SEARCH("II*",A49)),"II",
ISNUMBER(SEARCH("I*",A49)),"I")</f>
        <v>III</v>
      </c>
      <c r="D49">
        <v>8.2100000000000006E-2</v>
      </c>
    </row>
    <row r="50" spans="1:4" x14ac:dyDescent="0.2">
      <c r="A50" s="1" t="s">
        <v>50</v>
      </c>
      <c r="B50" t="str" cm="1">
        <f t="array" ref="B50">_xlfn.IFS(
ISNUMBER(SEARCH("*AUHV*",A50)),"AUHV",
ISNUMBER(SEARCH("*MNHV*",A50)),"MNHV",
ISNUMBER(SEARCH("*BWW*",A50)),"BWW",
ISNUMBER(SEARCH("*SWW*",A50)),"SWW",
ISNUMBER(SEARCH("*ORG*",A50)),"ORG",
ISNUMBER(SEARCH("*PRY*",A50)),"PRY",
ISNUMBER(SEARCH("*RCL*",A50)),"RCL"
)</f>
        <v>BWW</v>
      </c>
      <c r="C50" t="str" cm="1">
        <f t="array" ref="C50">_xlfn.IFS(
ISNUMBER(SEARCH("IV*",A50)),"IV",
ISNUMBER(SEARCH("III*",A50)),"III",
ISNUMBER(SEARCH("II*",A50)),"II",
ISNUMBER(SEARCH("I*",A50)),"I")</f>
        <v>III</v>
      </c>
      <c r="D50">
        <v>5.5300000000000002E-2</v>
      </c>
    </row>
    <row r="51" spans="1:4" x14ac:dyDescent="0.2">
      <c r="A51" s="1" t="s">
        <v>51</v>
      </c>
      <c r="B51" t="str" cm="1">
        <f t="array" ref="B51">_xlfn.IFS(
ISNUMBER(SEARCH("*AUHV*",A51)),"AUHV",
ISNUMBER(SEARCH("*MNHV*",A51)),"MNHV",
ISNUMBER(SEARCH("*BWW*",A51)),"BWW",
ISNUMBER(SEARCH("*SWW*",A51)),"SWW",
ISNUMBER(SEARCH("*ORG*",A51)),"ORG",
ISNUMBER(SEARCH("*PRY*",A51)),"PRY",
ISNUMBER(SEARCH("*RCL*",A51)),"RCL"
)</f>
        <v>BWW</v>
      </c>
      <c r="C51" t="str" cm="1">
        <f t="array" ref="C51">_xlfn.IFS(
ISNUMBER(SEARCH("IV*",A51)),"IV",
ISNUMBER(SEARCH("III*",A51)),"III",
ISNUMBER(SEARCH("II*",A51)),"II",
ISNUMBER(SEARCH("I*",A51)),"I")</f>
        <v>III</v>
      </c>
      <c r="D51">
        <v>5.1900000000000002E-2</v>
      </c>
    </row>
    <row r="52" spans="1:4" x14ac:dyDescent="0.2">
      <c r="A52" s="1" t="s">
        <v>52</v>
      </c>
      <c r="B52" t="str" cm="1">
        <f t="array" ref="B52">_xlfn.IFS(
ISNUMBER(SEARCH("*AUHV*",A52)),"AUHV",
ISNUMBER(SEARCH("*MNHV*",A52)),"MNHV",
ISNUMBER(SEARCH("*BWW*",A52)),"BWW",
ISNUMBER(SEARCH("*SWW*",A52)),"SWW",
ISNUMBER(SEARCH("*ORG*",A52)),"ORG",
ISNUMBER(SEARCH("*PRY*",A52)),"PRY",
ISNUMBER(SEARCH("*RCL*",A52)),"RCL"
)</f>
        <v>BWW</v>
      </c>
      <c r="C52" t="str" cm="1">
        <f t="array" ref="C52">_xlfn.IFS(
ISNUMBER(SEARCH("IV*",A52)),"IV",
ISNUMBER(SEARCH("III*",A52)),"III",
ISNUMBER(SEARCH("II*",A52)),"II",
ISNUMBER(SEARCH("I*",A52)),"I")</f>
        <v>III</v>
      </c>
      <c r="D52">
        <v>0.1009</v>
      </c>
    </row>
    <row r="53" spans="1:4" x14ac:dyDescent="0.2">
      <c r="A53" s="1" t="s">
        <v>53</v>
      </c>
      <c r="B53" t="str" cm="1">
        <f t="array" ref="B53">_xlfn.IFS(
ISNUMBER(SEARCH("*AUHV*",A53)),"AUHV",
ISNUMBER(SEARCH("*MNHV*",A53)),"MNHV",
ISNUMBER(SEARCH("*BWW*",A53)),"BWW",
ISNUMBER(SEARCH("*SWW*",A53)),"SWW",
ISNUMBER(SEARCH("*ORG*",A53)),"ORG",
ISNUMBER(SEARCH("*PRY*",A53)),"PRY",
ISNUMBER(SEARCH("*RCL*",A53)),"RCL"
)</f>
        <v>SWW</v>
      </c>
      <c r="C53" t="str" cm="1">
        <f t="array" ref="C53">_xlfn.IFS(
ISNUMBER(SEARCH("IV*",A53)),"IV",
ISNUMBER(SEARCH("III*",A53)),"III",
ISNUMBER(SEARCH("II*",A53)),"II",
ISNUMBER(SEARCH("I*",A53)),"I")</f>
        <v>III</v>
      </c>
      <c r="D53">
        <v>2.46E-2</v>
      </c>
    </row>
    <row r="54" spans="1:4" x14ac:dyDescent="0.2">
      <c r="A54" s="1" t="s">
        <v>54</v>
      </c>
      <c r="B54" t="str" cm="1">
        <f t="array" ref="B54">_xlfn.IFS(
ISNUMBER(SEARCH("*AUHV*",A54)),"AUHV",
ISNUMBER(SEARCH("*MNHV*",A54)),"MNHV",
ISNUMBER(SEARCH("*BWW*",A54)),"BWW",
ISNUMBER(SEARCH("*SWW*",A54)),"SWW",
ISNUMBER(SEARCH("*ORG*",A54)),"ORG",
ISNUMBER(SEARCH("*PRY*",A54)),"PRY",
ISNUMBER(SEARCH("*RCL*",A54)),"RCL"
)</f>
        <v>SWW</v>
      </c>
      <c r="C54" t="str" cm="1">
        <f t="array" ref="C54">_xlfn.IFS(
ISNUMBER(SEARCH("IV*",A54)),"IV",
ISNUMBER(SEARCH("III*",A54)),"III",
ISNUMBER(SEARCH("II*",A54)),"II",
ISNUMBER(SEARCH("I*",A54)),"I")</f>
        <v>III</v>
      </c>
      <c r="D54">
        <v>5.2200000000000003E-2</v>
      </c>
    </row>
    <row r="55" spans="1:4" x14ac:dyDescent="0.2">
      <c r="A55" s="1" t="s">
        <v>55</v>
      </c>
      <c r="B55" t="str" cm="1">
        <f t="array" ref="B55">_xlfn.IFS(
ISNUMBER(SEARCH("*AUHV*",A55)),"AUHV",
ISNUMBER(SEARCH("*MNHV*",A55)),"MNHV",
ISNUMBER(SEARCH("*BWW*",A55)),"BWW",
ISNUMBER(SEARCH("*SWW*",A55)),"SWW",
ISNUMBER(SEARCH("*ORG*",A55)),"ORG",
ISNUMBER(SEARCH("*PRY*",A55)),"PRY",
ISNUMBER(SEARCH("*RCL*",A55)),"RCL"
)</f>
        <v>SWW</v>
      </c>
      <c r="C55" t="str" cm="1">
        <f t="array" ref="C55">_xlfn.IFS(
ISNUMBER(SEARCH("IV*",A55)),"IV",
ISNUMBER(SEARCH("III*",A55)),"III",
ISNUMBER(SEARCH("II*",A55)),"II",
ISNUMBER(SEARCH("I*",A55)),"I")</f>
        <v>III</v>
      </c>
      <c r="D55">
        <v>7.3400000000000007E-2</v>
      </c>
    </row>
    <row r="56" spans="1:4" x14ac:dyDescent="0.2">
      <c r="A56" s="1" t="s">
        <v>56</v>
      </c>
      <c r="B56" t="str" cm="1">
        <f t="array" ref="B56">_xlfn.IFS(
ISNUMBER(SEARCH("*AUHV*",A56)),"AUHV",
ISNUMBER(SEARCH("*MNHV*",A56)),"MNHV",
ISNUMBER(SEARCH("*BWW*",A56)),"BWW",
ISNUMBER(SEARCH("*SWW*",A56)),"SWW",
ISNUMBER(SEARCH("*ORG*",A56)),"ORG",
ISNUMBER(SEARCH("*PRY*",A56)),"PRY",
ISNUMBER(SEARCH("*RCL*",A56)),"RCL"
)</f>
        <v>ORG</v>
      </c>
      <c r="C56" t="str" cm="1">
        <f t="array" ref="C56">_xlfn.IFS(
ISNUMBER(SEARCH("IV*",A56)),"IV",
ISNUMBER(SEARCH("III*",A56)),"III",
ISNUMBER(SEARCH("II*",A56)),"II",
ISNUMBER(SEARCH("I*",A56)),"I")</f>
        <v>III</v>
      </c>
      <c r="D56">
        <v>0.2923</v>
      </c>
    </row>
    <row r="57" spans="1:4" x14ac:dyDescent="0.2">
      <c r="A57" s="1" t="s">
        <v>57</v>
      </c>
      <c r="B57" t="str" cm="1">
        <f t="array" ref="B57">_xlfn.IFS(
ISNUMBER(SEARCH("*AUHV*",A57)),"AUHV",
ISNUMBER(SEARCH("*MNHV*",A57)),"MNHV",
ISNUMBER(SEARCH("*BWW*",A57)),"BWW",
ISNUMBER(SEARCH("*SWW*",A57)),"SWW",
ISNUMBER(SEARCH("*ORG*",A57)),"ORG",
ISNUMBER(SEARCH("*PRY*",A57)),"PRY",
ISNUMBER(SEARCH("*RCL*",A57)),"RCL"
)</f>
        <v>ORG</v>
      </c>
      <c r="C57" t="str" cm="1">
        <f t="array" ref="C57">_xlfn.IFS(
ISNUMBER(SEARCH("IV*",A57)),"IV",
ISNUMBER(SEARCH("III*",A57)),"III",
ISNUMBER(SEARCH("II*",A57)),"II",
ISNUMBER(SEARCH("I*",A57)),"I")</f>
        <v>III</v>
      </c>
      <c r="D57">
        <v>0.33379999999999999</v>
      </c>
    </row>
    <row r="58" spans="1:4" x14ac:dyDescent="0.2">
      <c r="A58" s="1" t="s">
        <v>58</v>
      </c>
      <c r="B58" t="str" cm="1">
        <f t="array" ref="B58">_xlfn.IFS(
ISNUMBER(SEARCH("*AUHV*",A58)),"AUHV",
ISNUMBER(SEARCH("*MNHV*",A58)),"MNHV",
ISNUMBER(SEARCH("*BWW*",A58)),"BWW",
ISNUMBER(SEARCH("*SWW*",A58)),"SWW",
ISNUMBER(SEARCH("*ORG*",A58)),"ORG",
ISNUMBER(SEARCH("*PRY*",A58)),"PRY",
ISNUMBER(SEARCH("*RCL*",A58)),"RCL"
)</f>
        <v>ORG</v>
      </c>
      <c r="C58" t="str" cm="1">
        <f t="array" ref="C58">_xlfn.IFS(
ISNUMBER(SEARCH("IV*",A58)),"IV",
ISNUMBER(SEARCH("III*",A58)),"III",
ISNUMBER(SEARCH("II*",A58)),"II",
ISNUMBER(SEARCH("I*",A58)),"I")</f>
        <v>III</v>
      </c>
      <c r="D58">
        <v>1.0533999999999999</v>
      </c>
    </row>
    <row r="59" spans="1:4" x14ac:dyDescent="0.2">
      <c r="A59" s="1" t="s">
        <v>59</v>
      </c>
      <c r="B59" t="str" cm="1">
        <f t="array" ref="B59">_xlfn.IFS(
ISNUMBER(SEARCH("*AUHV*",A59)),"AUHV",
ISNUMBER(SEARCH("*MNHV*",A59)),"MNHV",
ISNUMBER(SEARCH("*BWW*",A59)),"BWW",
ISNUMBER(SEARCH("*SWW*",A59)),"SWW",
ISNUMBER(SEARCH("*ORG*",A59)),"ORG",
ISNUMBER(SEARCH("*PRY*",A59)),"PRY",
ISNUMBER(SEARCH("*RCL*",A59)),"RCL"
)</f>
        <v>PRY</v>
      </c>
      <c r="C59" t="str" cm="1">
        <f t="array" ref="C59">_xlfn.IFS(
ISNUMBER(SEARCH("IV*",A59)),"IV",
ISNUMBER(SEARCH("III*",A59)),"III",
ISNUMBER(SEARCH("II*",A59)),"II",
ISNUMBER(SEARCH("I*",A59)),"I")</f>
        <v>III</v>
      </c>
      <c r="D59">
        <v>0.81810000000000005</v>
      </c>
    </row>
    <row r="60" spans="1:4" x14ac:dyDescent="0.2">
      <c r="A60" s="1" t="s">
        <v>60</v>
      </c>
      <c r="B60" t="str" cm="1">
        <f t="array" ref="B60">_xlfn.IFS(
ISNUMBER(SEARCH("*AUHV*",A60)),"AUHV",
ISNUMBER(SEARCH("*MNHV*",A60)),"MNHV",
ISNUMBER(SEARCH("*BWW*",A60)),"BWW",
ISNUMBER(SEARCH("*SWW*",A60)),"SWW",
ISNUMBER(SEARCH("*ORG*",A60)),"ORG",
ISNUMBER(SEARCH("*PRY*",A60)),"PRY",
ISNUMBER(SEARCH("*RCL*",A60)),"RCL"
)</f>
        <v>PRY</v>
      </c>
      <c r="C60" t="str" cm="1">
        <f t="array" ref="C60">_xlfn.IFS(
ISNUMBER(SEARCH("IV*",A60)),"IV",
ISNUMBER(SEARCH("III*",A60)),"III",
ISNUMBER(SEARCH("II*",A60)),"II",
ISNUMBER(SEARCH("I*",A60)),"I")</f>
        <v>III</v>
      </c>
      <c r="D60">
        <v>0.71840000000000004</v>
      </c>
    </row>
    <row r="61" spans="1:4" x14ac:dyDescent="0.2">
      <c r="A61" s="1" t="s">
        <v>61</v>
      </c>
      <c r="B61" t="str" cm="1">
        <f t="array" ref="B61">_xlfn.IFS(
ISNUMBER(SEARCH("*AUHV*",A61)),"AUHV",
ISNUMBER(SEARCH("*MNHV*",A61)),"MNHV",
ISNUMBER(SEARCH("*BWW*",A61)),"BWW",
ISNUMBER(SEARCH("*SWW*",A61)),"SWW",
ISNUMBER(SEARCH("*ORG*",A61)),"ORG",
ISNUMBER(SEARCH("*PRY*",A61)),"PRY",
ISNUMBER(SEARCH("*RCL*",A61)),"RCL"
)</f>
        <v>PRY</v>
      </c>
      <c r="C61" t="str" cm="1">
        <f t="array" ref="C61">_xlfn.IFS(
ISNUMBER(SEARCH("IV*",A61)),"IV",
ISNUMBER(SEARCH("III*",A61)),"III",
ISNUMBER(SEARCH("II*",A61)),"II",
ISNUMBER(SEARCH("I*",A61)),"I")</f>
        <v>III</v>
      </c>
      <c r="D61">
        <v>0.77010000000000001</v>
      </c>
    </row>
    <row r="62" spans="1:4" x14ac:dyDescent="0.2">
      <c r="A62" s="1" t="s">
        <v>62</v>
      </c>
      <c r="B62" t="str" cm="1">
        <f t="array" ref="B62">_xlfn.IFS(
ISNUMBER(SEARCH("*AUHV*",A62)),"AUHV",
ISNUMBER(SEARCH("*MNHV*",A62)),"MNHV",
ISNUMBER(SEARCH("*BWW*",A62)),"BWW",
ISNUMBER(SEARCH("*SWW*",A62)),"SWW",
ISNUMBER(SEARCH("*ORG*",A62)),"ORG",
ISNUMBER(SEARCH("*PRY*",A62)),"PRY",
ISNUMBER(SEARCH("*RCL*",A62)),"RCL"
)</f>
        <v>RCL</v>
      </c>
      <c r="C62" t="str" cm="1">
        <f t="array" ref="C62">_xlfn.IFS(
ISNUMBER(SEARCH("IV*",A62)),"IV",
ISNUMBER(SEARCH("III*",A62)),"III",
ISNUMBER(SEARCH("II*",A62)),"II",
ISNUMBER(SEARCH("I*",A62)),"I")</f>
        <v>III</v>
      </c>
      <c r="D62">
        <v>0.2341</v>
      </c>
    </row>
    <row r="63" spans="1:4" x14ac:dyDescent="0.2">
      <c r="A63" s="1" t="s">
        <v>63</v>
      </c>
      <c r="B63" t="str" cm="1">
        <f t="array" ref="B63">_xlfn.IFS(
ISNUMBER(SEARCH("*AUHV*",A63)),"AUHV",
ISNUMBER(SEARCH("*MNHV*",A63)),"MNHV",
ISNUMBER(SEARCH("*BWW*",A63)),"BWW",
ISNUMBER(SEARCH("*SWW*",A63)),"SWW",
ISNUMBER(SEARCH("*ORG*",A63)),"ORG",
ISNUMBER(SEARCH("*PRY*",A63)),"PRY",
ISNUMBER(SEARCH("*RCL*",A63)),"RCL"
)</f>
        <v>RCL</v>
      </c>
      <c r="C63" t="str" cm="1">
        <f t="array" ref="C63">_xlfn.IFS(
ISNUMBER(SEARCH("IV*",A63)),"IV",
ISNUMBER(SEARCH("III*",A63)),"III",
ISNUMBER(SEARCH("II*",A63)),"II",
ISNUMBER(SEARCH("I*",A63)),"I")</f>
        <v>III</v>
      </c>
      <c r="D63">
        <v>0.2364</v>
      </c>
    </row>
    <row r="64" spans="1:4" x14ac:dyDescent="0.2">
      <c r="A64" s="1" t="s">
        <v>64</v>
      </c>
      <c r="B64" t="str" cm="1">
        <f t="array" ref="B64">_xlfn.IFS(
ISNUMBER(SEARCH("*AUHV*",A64)),"AUHV",
ISNUMBER(SEARCH("*MNHV*",A64)),"MNHV",
ISNUMBER(SEARCH("*BWW*",A64)),"BWW",
ISNUMBER(SEARCH("*SWW*",A64)),"SWW",
ISNUMBER(SEARCH("*ORG*",A64)),"ORG",
ISNUMBER(SEARCH("*PRY*",A64)),"PRY",
ISNUMBER(SEARCH("*RCL*",A64)),"RCL"
)</f>
        <v>RCL</v>
      </c>
      <c r="C64" t="str" cm="1">
        <f t="array" ref="C64">_xlfn.IFS(
ISNUMBER(SEARCH("IV*",A64)),"IV",
ISNUMBER(SEARCH("III*",A64)),"III",
ISNUMBER(SEARCH("II*",A64)),"II",
ISNUMBER(SEARCH("I*",A64)),"I")</f>
        <v>III</v>
      </c>
      <c r="D64">
        <v>0.43969999999999998</v>
      </c>
    </row>
    <row r="65" spans="1:4" x14ac:dyDescent="0.2">
      <c r="A65" s="1" t="s">
        <v>65</v>
      </c>
      <c r="B65" t="str" cm="1">
        <f t="array" ref="B65">_xlfn.IFS(
ISNUMBER(SEARCH("*AUHV*",A65)),"AUHV",
ISNUMBER(SEARCH("*MNHV*",A65)),"MNHV",
ISNUMBER(SEARCH("*BWW*",A65)),"BWW",
ISNUMBER(SEARCH("*SWW*",A65)),"SWW",
ISNUMBER(SEARCH("*ORG*",A65)),"ORG",
ISNUMBER(SEARCH("*PRY*",A65)),"PRY",
ISNUMBER(SEARCH("*RCL*",A65)),"RCL"
)</f>
        <v>AUHV</v>
      </c>
      <c r="C65" t="str" cm="1">
        <f t="array" ref="C65">_xlfn.IFS(
ISNUMBER(SEARCH("IV*",A65)),"IV",
ISNUMBER(SEARCH("III*",A65)),"III",
ISNUMBER(SEARCH("II*",A65)),"II",
ISNUMBER(SEARCH("I*",A65)),"I")</f>
        <v>IV</v>
      </c>
      <c r="D65">
        <v>8.7400000000000005E-2</v>
      </c>
    </row>
    <row r="66" spans="1:4" x14ac:dyDescent="0.2">
      <c r="A66" s="1" t="s">
        <v>66</v>
      </c>
      <c r="B66" t="str" cm="1">
        <f t="array" ref="B66">_xlfn.IFS(
ISNUMBER(SEARCH("*AUHV*",A66)),"AUHV",
ISNUMBER(SEARCH("*MNHV*",A66)),"MNHV",
ISNUMBER(SEARCH("*BWW*",A66)),"BWW",
ISNUMBER(SEARCH("*SWW*",A66)),"SWW",
ISNUMBER(SEARCH("*ORG*",A66)),"ORG",
ISNUMBER(SEARCH("*PRY*",A66)),"PRY",
ISNUMBER(SEARCH("*RCL*",A66)),"RCL"
)</f>
        <v>AUHV</v>
      </c>
      <c r="C66" t="str" cm="1">
        <f t="array" ref="C66">_xlfn.IFS(
ISNUMBER(SEARCH("IV*",A66)),"IV",
ISNUMBER(SEARCH("III*",A66)),"III",
ISNUMBER(SEARCH("II*",A66)),"II",
ISNUMBER(SEARCH("I*",A66)),"I")</f>
        <v>IV</v>
      </c>
      <c r="D66">
        <v>6.3399999999999998E-2</v>
      </c>
    </row>
    <row r="67" spans="1:4" x14ac:dyDescent="0.2">
      <c r="A67" s="1" t="s">
        <v>67</v>
      </c>
      <c r="B67" t="str" cm="1">
        <f t="array" ref="B67">_xlfn.IFS(
ISNUMBER(SEARCH("*AUHV*",A67)),"AUHV",
ISNUMBER(SEARCH("*MNHV*",A67)),"MNHV",
ISNUMBER(SEARCH("*BWW*",A67)),"BWW",
ISNUMBER(SEARCH("*SWW*",A67)),"SWW",
ISNUMBER(SEARCH("*ORG*",A67)),"ORG",
ISNUMBER(SEARCH("*PRY*",A67)),"PRY",
ISNUMBER(SEARCH("*RCL*",A67)),"RCL"
)</f>
        <v>AUHV</v>
      </c>
      <c r="C67" t="str" cm="1">
        <f t="array" ref="C67">_xlfn.IFS(
ISNUMBER(SEARCH("IV*",A67)),"IV",
ISNUMBER(SEARCH("III*",A67)),"III",
ISNUMBER(SEARCH("II*",A67)),"II",
ISNUMBER(SEARCH("I*",A67)),"I")</f>
        <v>IV</v>
      </c>
      <c r="D67">
        <v>3.9899999999999998E-2</v>
      </c>
    </row>
    <row r="68" spans="1:4" x14ac:dyDescent="0.2">
      <c r="A68" s="1" t="s">
        <v>68</v>
      </c>
      <c r="B68" t="str" cm="1">
        <f t="array" ref="B68">_xlfn.IFS(
ISNUMBER(SEARCH("*AUHV*",A68)),"AUHV",
ISNUMBER(SEARCH("*MNHV*",A68)),"MNHV",
ISNUMBER(SEARCH("*BWW*",A68)),"BWW",
ISNUMBER(SEARCH("*SWW*",A68)),"SWW",
ISNUMBER(SEARCH("*ORG*",A68)),"ORG",
ISNUMBER(SEARCH("*PRY*",A68)),"PRY",
ISNUMBER(SEARCH("*RCL*",A68)),"RCL"
)</f>
        <v>MNHV</v>
      </c>
      <c r="C68" t="str" cm="1">
        <f t="array" ref="C68">_xlfn.IFS(
ISNUMBER(SEARCH("IV*",A68)),"IV",
ISNUMBER(SEARCH("III*",A68)),"III",
ISNUMBER(SEARCH("II*",A68)),"II",
ISNUMBER(SEARCH("I*",A68)),"I")</f>
        <v>IV</v>
      </c>
      <c r="D68">
        <v>0.1026</v>
      </c>
    </row>
    <row r="69" spans="1:4" x14ac:dyDescent="0.2">
      <c r="A69" s="1" t="s">
        <v>69</v>
      </c>
      <c r="B69" t="str" cm="1">
        <f t="array" ref="B69">_xlfn.IFS(
ISNUMBER(SEARCH("*AUHV*",A69)),"AUHV",
ISNUMBER(SEARCH("*MNHV*",A69)),"MNHV",
ISNUMBER(SEARCH("*BWW*",A69)),"BWW",
ISNUMBER(SEARCH("*SWW*",A69)),"SWW",
ISNUMBER(SEARCH("*ORG*",A69)),"ORG",
ISNUMBER(SEARCH("*PRY*",A69)),"PRY",
ISNUMBER(SEARCH("*RCL*",A69)),"RCL"
)</f>
        <v>MNHV</v>
      </c>
      <c r="C69" t="str" cm="1">
        <f t="array" ref="C69">_xlfn.IFS(
ISNUMBER(SEARCH("IV*",A69)),"IV",
ISNUMBER(SEARCH("III*",A69)),"III",
ISNUMBER(SEARCH("II*",A69)),"II",
ISNUMBER(SEARCH("I*",A69)),"I")</f>
        <v>IV</v>
      </c>
      <c r="D69">
        <v>0.1011</v>
      </c>
    </row>
    <row r="70" spans="1:4" x14ac:dyDescent="0.2">
      <c r="A70" s="1" t="s">
        <v>70</v>
      </c>
      <c r="B70" t="str" cm="1">
        <f t="array" ref="B70">_xlfn.IFS(
ISNUMBER(SEARCH("*AUHV*",A70)),"AUHV",
ISNUMBER(SEARCH("*MNHV*",A70)),"MNHV",
ISNUMBER(SEARCH("*BWW*",A70)),"BWW",
ISNUMBER(SEARCH("*SWW*",A70)),"SWW",
ISNUMBER(SEARCH("*ORG*",A70)),"ORG",
ISNUMBER(SEARCH("*PRY*",A70)),"PRY",
ISNUMBER(SEARCH("*RCL*",A70)),"RCL"
)</f>
        <v>MNHV</v>
      </c>
      <c r="C70" t="str" cm="1">
        <f t="array" ref="C70">_xlfn.IFS(
ISNUMBER(SEARCH("IV*",A70)),"IV",
ISNUMBER(SEARCH("III*",A70)),"III",
ISNUMBER(SEARCH("II*",A70)),"II",
ISNUMBER(SEARCH("I*",A70)),"I")</f>
        <v>IV</v>
      </c>
      <c r="D70">
        <v>7.5600000000000001E-2</v>
      </c>
    </row>
    <row r="71" spans="1:4" x14ac:dyDescent="0.2">
      <c r="A71" s="1" t="s">
        <v>71</v>
      </c>
      <c r="B71" t="str" cm="1">
        <f t="array" ref="B71">_xlfn.IFS(
ISNUMBER(SEARCH("*AUHV*",A71)),"AUHV",
ISNUMBER(SEARCH("*MNHV*",A71)),"MNHV",
ISNUMBER(SEARCH("*BWW*",A71)),"BWW",
ISNUMBER(SEARCH("*SWW*",A71)),"SWW",
ISNUMBER(SEARCH("*ORG*",A71)),"ORG",
ISNUMBER(SEARCH("*PRY*",A71)),"PRY",
ISNUMBER(SEARCH("*RCL*",A71)),"RCL"
)</f>
        <v>BWW</v>
      </c>
      <c r="C71" t="str" cm="1">
        <f t="array" ref="C71">_xlfn.IFS(
ISNUMBER(SEARCH("IV*",A71)),"IV",
ISNUMBER(SEARCH("III*",A71)),"III",
ISNUMBER(SEARCH("II*",A71)),"II",
ISNUMBER(SEARCH("I*",A71)),"I")</f>
        <v>IV</v>
      </c>
      <c r="D71">
        <v>8.4099999999999994E-2</v>
      </c>
    </row>
    <row r="72" spans="1:4" x14ac:dyDescent="0.2">
      <c r="A72" s="1" t="s">
        <v>72</v>
      </c>
      <c r="B72" t="str" cm="1">
        <f t="array" ref="B72">_xlfn.IFS(
ISNUMBER(SEARCH("*AUHV*",A72)),"AUHV",
ISNUMBER(SEARCH("*MNHV*",A72)),"MNHV",
ISNUMBER(SEARCH("*BWW*",A72)),"BWW",
ISNUMBER(SEARCH("*SWW*",A72)),"SWW",
ISNUMBER(SEARCH("*ORG*",A72)),"ORG",
ISNUMBER(SEARCH("*PRY*",A72)),"PRY",
ISNUMBER(SEARCH("*RCL*",A72)),"RCL"
)</f>
        <v>BWW</v>
      </c>
      <c r="C72" t="str" cm="1">
        <f t="array" ref="C72">_xlfn.IFS(
ISNUMBER(SEARCH("IV*",A72)),"IV",
ISNUMBER(SEARCH("III*",A72)),"III",
ISNUMBER(SEARCH("II*",A72)),"II",
ISNUMBER(SEARCH("I*",A72)),"I")</f>
        <v>IV</v>
      </c>
      <c r="D72">
        <v>5.8900000000000001E-2</v>
      </c>
    </row>
    <row r="73" spans="1:4" x14ac:dyDescent="0.2">
      <c r="A73" s="1" t="s">
        <v>73</v>
      </c>
      <c r="B73" t="str" cm="1">
        <f t="array" ref="B73">_xlfn.IFS(
ISNUMBER(SEARCH("*AUHV*",A73)),"AUHV",
ISNUMBER(SEARCH("*MNHV*",A73)),"MNHV",
ISNUMBER(SEARCH("*BWW*",A73)),"BWW",
ISNUMBER(SEARCH("*SWW*",A73)),"SWW",
ISNUMBER(SEARCH("*ORG*",A73)),"ORG",
ISNUMBER(SEARCH("*PRY*",A73)),"PRY",
ISNUMBER(SEARCH("*RCL*",A73)),"RCL"
)</f>
        <v>BWW</v>
      </c>
      <c r="C73" t="str" cm="1">
        <f t="array" ref="C73">_xlfn.IFS(
ISNUMBER(SEARCH("IV*",A73)),"IV",
ISNUMBER(SEARCH("III*",A73)),"III",
ISNUMBER(SEARCH("II*",A73)),"II",
ISNUMBER(SEARCH("I*",A73)),"I")</f>
        <v>IV</v>
      </c>
      <c r="D73">
        <v>7.2400000000000006E-2</v>
      </c>
    </row>
    <row r="74" spans="1:4" x14ac:dyDescent="0.2">
      <c r="A74" s="1" t="s">
        <v>74</v>
      </c>
      <c r="B74" t="str" cm="1">
        <f t="array" ref="B74">_xlfn.IFS(
ISNUMBER(SEARCH("*AUHV*",A74)),"AUHV",
ISNUMBER(SEARCH("*MNHV*",A74)),"MNHV",
ISNUMBER(SEARCH("*BWW*",A74)),"BWW",
ISNUMBER(SEARCH("*SWW*",A74)),"SWW",
ISNUMBER(SEARCH("*ORG*",A74)),"ORG",
ISNUMBER(SEARCH("*PRY*",A74)),"PRY",
ISNUMBER(SEARCH("*RCL*",A74)),"RCL"
)</f>
        <v>SWW</v>
      </c>
      <c r="C74" t="str" cm="1">
        <f t="array" ref="C74">_xlfn.IFS(
ISNUMBER(SEARCH("IV*",A74)),"IV",
ISNUMBER(SEARCH("III*",A74)),"III",
ISNUMBER(SEARCH("II*",A74)),"II",
ISNUMBER(SEARCH("I*",A74)),"I")</f>
        <v>IV</v>
      </c>
      <c r="D74">
        <v>1.9599999999999999E-2</v>
      </c>
    </row>
    <row r="75" spans="1:4" x14ac:dyDescent="0.2">
      <c r="A75" s="1" t="s">
        <v>75</v>
      </c>
      <c r="B75" t="str" cm="1">
        <f t="array" ref="B75">_xlfn.IFS(
ISNUMBER(SEARCH("*AUHV*",A75)),"AUHV",
ISNUMBER(SEARCH("*MNHV*",A75)),"MNHV",
ISNUMBER(SEARCH("*BWW*",A75)),"BWW",
ISNUMBER(SEARCH("*SWW*",A75)),"SWW",
ISNUMBER(SEARCH("*ORG*",A75)),"ORG",
ISNUMBER(SEARCH("*PRY*",A75)),"PRY",
ISNUMBER(SEARCH("*RCL*",A75)),"RCL"
)</f>
        <v>SWW</v>
      </c>
      <c r="C75" t="str" cm="1">
        <f t="array" ref="C75">_xlfn.IFS(
ISNUMBER(SEARCH("IV*",A75)),"IV",
ISNUMBER(SEARCH("III*",A75)),"III",
ISNUMBER(SEARCH("II*",A75)),"II",
ISNUMBER(SEARCH("I*",A75)),"I")</f>
        <v>IV</v>
      </c>
      <c r="D75">
        <v>3.4299999999999997E-2</v>
      </c>
    </row>
    <row r="76" spans="1:4" x14ac:dyDescent="0.2">
      <c r="A76" s="1" t="s">
        <v>76</v>
      </c>
      <c r="B76" t="str" cm="1">
        <f t="array" ref="B76">_xlfn.IFS(
ISNUMBER(SEARCH("*AUHV*",A76)),"AUHV",
ISNUMBER(SEARCH("*MNHV*",A76)),"MNHV",
ISNUMBER(SEARCH("*BWW*",A76)),"BWW",
ISNUMBER(SEARCH("*SWW*",A76)),"SWW",
ISNUMBER(SEARCH("*ORG*",A76)),"ORG",
ISNUMBER(SEARCH("*PRY*",A76)),"PRY",
ISNUMBER(SEARCH("*RCL*",A76)),"RCL"
)</f>
        <v>SWW</v>
      </c>
      <c r="C76" t="str" cm="1">
        <f t="array" ref="C76">_xlfn.IFS(
ISNUMBER(SEARCH("IV*",A76)),"IV",
ISNUMBER(SEARCH("III*",A76)),"III",
ISNUMBER(SEARCH("II*",A76)),"II",
ISNUMBER(SEARCH("I*",A76)),"I")</f>
        <v>IV</v>
      </c>
      <c r="D76">
        <v>4.7199999999999999E-2</v>
      </c>
    </row>
    <row r="77" spans="1:4" x14ac:dyDescent="0.2">
      <c r="A77" s="1" t="s">
        <v>77</v>
      </c>
      <c r="B77" t="str" cm="1">
        <f t="array" ref="B77">_xlfn.IFS(
ISNUMBER(SEARCH("*AUHV*",A77)),"AUHV",
ISNUMBER(SEARCH("*MNHV*",A77)),"MNHV",
ISNUMBER(SEARCH("*BWW*",A77)),"BWW",
ISNUMBER(SEARCH("*SWW*",A77)),"SWW",
ISNUMBER(SEARCH("*ORG*",A77)),"ORG",
ISNUMBER(SEARCH("*PRY*",A77)),"PRY",
ISNUMBER(SEARCH("*RCL*",A77)),"RCL"
)</f>
        <v>ORG</v>
      </c>
      <c r="C77" t="str" cm="1">
        <f t="array" ref="C77">_xlfn.IFS(
ISNUMBER(SEARCH("IV*",A77)),"IV",
ISNUMBER(SEARCH("III*",A77)),"III",
ISNUMBER(SEARCH("II*",A77)),"II",
ISNUMBER(SEARCH("I*",A77)),"I")</f>
        <v>IV</v>
      </c>
      <c r="D77">
        <v>0.98329999999999995</v>
      </c>
    </row>
    <row r="78" spans="1:4" x14ac:dyDescent="0.2">
      <c r="A78" s="1" t="s">
        <v>78</v>
      </c>
      <c r="B78" t="str" cm="1">
        <f t="array" ref="B78">_xlfn.IFS(
ISNUMBER(SEARCH("*AUHV*",A78)),"AUHV",
ISNUMBER(SEARCH("*MNHV*",A78)),"MNHV",
ISNUMBER(SEARCH("*BWW*",A78)),"BWW",
ISNUMBER(SEARCH("*SWW*",A78)),"SWW",
ISNUMBER(SEARCH("*ORG*",A78)),"ORG",
ISNUMBER(SEARCH("*PRY*",A78)),"PRY",
ISNUMBER(SEARCH("*RCL*",A78)),"RCL"
)</f>
        <v>ORG</v>
      </c>
      <c r="C78" t="str" cm="1">
        <f t="array" ref="C78">_xlfn.IFS(
ISNUMBER(SEARCH("IV*",A78)),"IV",
ISNUMBER(SEARCH("III*",A78)),"III",
ISNUMBER(SEARCH("II*",A78)),"II",
ISNUMBER(SEARCH("I*",A78)),"I")</f>
        <v>IV</v>
      </c>
      <c r="D78">
        <v>0.38440000000000002</v>
      </c>
    </row>
    <row r="79" spans="1:4" x14ac:dyDescent="0.2">
      <c r="A79" s="1" t="s">
        <v>79</v>
      </c>
      <c r="B79" t="str" cm="1">
        <f t="array" ref="B79">_xlfn.IFS(
ISNUMBER(SEARCH("*AUHV*",A79)),"AUHV",
ISNUMBER(SEARCH("*MNHV*",A79)),"MNHV",
ISNUMBER(SEARCH("*BWW*",A79)),"BWW",
ISNUMBER(SEARCH("*SWW*",A79)),"SWW",
ISNUMBER(SEARCH("*ORG*",A79)),"ORG",
ISNUMBER(SEARCH("*PRY*",A79)),"PRY",
ISNUMBER(SEARCH("*RCL*",A79)),"RCL"
)</f>
        <v>ORG</v>
      </c>
      <c r="C79" t="str" cm="1">
        <f t="array" ref="C79">_xlfn.IFS(
ISNUMBER(SEARCH("IV*",A79)),"IV",
ISNUMBER(SEARCH("III*",A79)),"III",
ISNUMBER(SEARCH("II*",A79)),"II",
ISNUMBER(SEARCH("I*",A79)),"I")</f>
        <v>IV</v>
      </c>
      <c r="D79">
        <v>0.31059999999999999</v>
      </c>
    </row>
    <row r="80" spans="1:4" x14ac:dyDescent="0.2">
      <c r="A80" s="1" t="s">
        <v>80</v>
      </c>
      <c r="B80" t="str" cm="1">
        <f t="array" ref="B80">_xlfn.IFS(
ISNUMBER(SEARCH("*AUHV*",A80)),"AUHV",
ISNUMBER(SEARCH("*MNHV*",A80)),"MNHV",
ISNUMBER(SEARCH("*BWW*",A80)),"BWW",
ISNUMBER(SEARCH("*SWW*",A80)),"SWW",
ISNUMBER(SEARCH("*ORG*",A80)),"ORG",
ISNUMBER(SEARCH("*PRY*",A80)),"PRY",
ISNUMBER(SEARCH("*RCL*",A80)),"RCL"
)</f>
        <v>PRY</v>
      </c>
      <c r="C80" t="str" cm="1">
        <f t="array" ref="C80">_xlfn.IFS(
ISNUMBER(SEARCH("IV*",A80)),"IV",
ISNUMBER(SEARCH("III*",A80)),"III",
ISNUMBER(SEARCH("II*",A80)),"II",
ISNUMBER(SEARCH("I*",A80)),"I")</f>
        <v>IV</v>
      </c>
      <c r="D80">
        <v>0.6008</v>
      </c>
    </row>
    <row r="81" spans="1:4" x14ac:dyDescent="0.2">
      <c r="A81" s="1" t="s">
        <v>81</v>
      </c>
      <c r="B81" t="str" cm="1">
        <f t="array" ref="B81">_xlfn.IFS(
ISNUMBER(SEARCH("*AUHV*",A81)),"AUHV",
ISNUMBER(SEARCH("*MNHV*",A81)),"MNHV",
ISNUMBER(SEARCH("*BWW*",A81)),"BWW",
ISNUMBER(SEARCH("*SWW*",A81)),"SWW",
ISNUMBER(SEARCH("*ORG*",A81)),"ORG",
ISNUMBER(SEARCH("*PRY*",A81)),"PRY",
ISNUMBER(SEARCH("*RCL*",A81)),"RCL"
)</f>
        <v>PRY</v>
      </c>
      <c r="C81" t="str" cm="1">
        <f t="array" ref="C81">_xlfn.IFS(
ISNUMBER(SEARCH("IV*",A81)),"IV",
ISNUMBER(SEARCH("III*",A81)),"III",
ISNUMBER(SEARCH("II*",A81)),"II",
ISNUMBER(SEARCH("I*",A81)),"I")</f>
        <v>IV</v>
      </c>
      <c r="D81">
        <v>0.7278</v>
      </c>
    </row>
    <row r="82" spans="1:4" x14ac:dyDescent="0.2">
      <c r="A82" s="1" t="s">
        <v>82</v>
      </c>
      <c r="B82" t="str" cm="1">
        <f t="array" ref="B82">_xlfn.IFS(
ISNUMBER(SEARCH("*AUHV*",A82)),"AUHV",
ISNUMBER(SEARCH("*MNHV*",A82)),"MNHV",
ISNUMBER(SEARCH("*BWW*",A82)),"BWW",
ISNUMBER(SEARCH("*SWW*",A82)),"SWW",
ISNUMBER(SEARCH("*ORG*",A82)),"ORG",
ISNUMBER(SEARCH("*PRY*",A82)),"PRY",
ISNUMBER(SEARCH("*RCL*",A82)),"RCL"
)</f>
        <v>PRY</v>
      </c>
      <c r="C82" t="str" cm="1">
        <f t="array" ref="C82">_xlfn.IFS(
ISNUMBER(SEARCH("IV*",A82)),"IV",
ISNUMBER(SEARCH("III*",A82)),"III",
ISNUMBER(SEARCH("II*",A82)),"II",
ISNUMBER(SEARCH("I*",A82)),"I")</f>
        <v>IV</v>
      </c>
      <c r="D82">
        <v>0.40589999999999998</v>
      </c>
    </row>
    <row r="83" spans="1:4" x14ac:dyDescent="0.2">
      <c r="A83" s="1" t="s">
        <v>83</v>
      </c>
      <c r="B83" t="str" cm="1">
        <f t="array" ref="B83">_xlfn.IFS(
ISNUMBER(SEARCH("*AUHV*",A83)),"AUHV",
ISNUMBER(SEARCH("*MNHV*",A83)),"MNHV",
ISNUMBER(SEARCH("*BWW*",A83)),"BWW",
ISNUMBER(SEARCH("*SWW*",A83)),"SWW",
ISNUMBER(SEARCH("*ORG*",A83)),"ORG",
ISNUMBER(SEARCH("*PRY*",A83)),"PRY",
ISNUMBER(SEARCH("*RCL*",A83)),"RCL"
)</f>
        <v>RCL</v>
      </c>
      <c r="C83" t="str" cm="1">
        <f t="array" ref="C83">_xlfn.IFS(
ISNUMBER(SEARCH("IV*",A83)),"IV",
ISNUMBER(SEARCH("III*",A83)),"III",
ISNUMBER(SEARCH("II*",A83)),"II",
ISNUMBER(SEARCH("I*",A83)),"I")</f>
        <v>IV</v>
      </c>
      <c r="D83">
        <v>0.37040000000000001</v>
      </c>
    </row>
    <row r="84" spans="1:4" x14ac:dyDescent="0.2">
      <c r="A84" s="1" t="s">
        <v>84</v>
      </c>
      <c r="B84" t="str" cm="1">
        <f t="array" ref="B84">_xlfn.IFS(
ISNUMBER(SEARCH("*AUHV*",A84)),"AUHV",
ISNUMBER(SEARCH("*MNHV*",A84)),"MNHV",
ISNUMBER(SEARCH("*BWW*",A84)),"BWW",
ISNUMBER(SEARCH("*SWW*",A84)),"SWW",
ISNUMBER(SEARCH("*ORG*",A84)),"ORG",
ISNUMBER(SEARCH("*PRY*",A84)),"PRY",
ISNUMBER(SEARCH("*RCL*",A84)),"RCL"
)</f>
        <v>RCL</v>
      </c>
      <c r="C84" t="str" cm="1">
        <f t="array" ref="C84">_xlfn.IFS(
ISNUMBER(SEARCH("IV*",A84)),"IV",
ISNUMBER(SEARCH("III*",A84)),"III",
ISNUMBER(SEARCH("II*",A84)),"II",
ISNUMBER(SEARCH("I*",A84)),"I")</f>
        <v>IV</v>
      </c>
      <c r="D84">
        <v>0.34350000000000003</v>
      </c>
    </row>
    <row r="85" spans="1:4" x14ac:dyDescent="0.2">
      <c r="A85" s="1" t="s">
        <v>85</v>
      </c>
      <c r="B85" t="str" cm="1">
        <f t="array" ref="B85">_xlfn.IFS(
ISNUMBER(SEARCH("*AUHV*",A85)),"AUHV",
ISNUMBER(SEARCH("*MNHV*",A85)),"MNHV",
ISNUMBER(SEARCH("*BWW*",A85)),"BWW",
ISNUMBER(SEARCH("*SWW*",A85)),"SWW",
ISNUMBER(SEARCH("*ORG*",A85)),"ORG",
ISNUMBER(SEARCH("*PRY*",A85)),"PRY",
ISNUMBER(SEARCH("*RCL*",A85)),"RCL"
)</f>
        <v>RCL</v>
      </c>
      <c r="C85" t="str" cm="1">
        <f t="array" ref="C85">_xlfn.IFS(
ISNUMBER(SEARCH("IV*",A85)),"IV",
ISNUMBER(SEARCH("III*",A85)),"III",
ISNUMBER(SEARCH("II*",A85)),"II",
ISNUMBER(SEARCH("I*",A85)),"I")</f>
        <v>IV</v>
      </c>
      <c r="D85">
        <v>0.1487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8AE7-8471-1E41-A2BC-2810356ECE2B}">
  <dimension ref="A1:O29"/>
  <sheetViews>
    <sheetView tabSelected="1" zoomScale="86" workbookViewId="0">
      <selection activeCell="O7" sqref="O7"/>
    </sheetView>
  </sheetViews>
  <sheetFormatPr baseColWidth="10" defaultRowHeight="16" x14ac:dyDescent="0.2"/>
  <cols>
    <col min="4" max="4" width="17.5" customWidth="1"/>
    <col min="6" max="6" width="18" customWidth="1"/>
    <col min="7" max="7" width="24.83203125" customWidth="1"/>
    <col min="8" max="8" width="18.83203125" customWidth="1"/>
    <col min="9" max="9" width="22.83203125" customWidth="1"/>
  </cols>
  <sheetData>
    <row r="1" spans="1:15" x14ac:dyDescent="0.2">
      <c r="A1" t="s">
        <v>0</v>
      </c>
      <c r="B1" t="s">
        <v>120</v>
      </c>
      <c r="C1" t="s">
        <v>121</v>
      </c>
      <c r="D1" t="s">
        <v>87</v>
      </c>
      <c r="E1" t="s">
        <v>88</v>
      </c>
      <c r="F1" t="s">
        <v>89</v>
      </c>
      <c r="G1" t="s">
        <v>119</v>
      </c>
      <c r="H1" t="s">
        <v>183</v>
      </c>
      <c r="I1" t="s">
        <v>182</v>
      </c>
      <c r="J1" t="s">
        <v>118</v>
      </c>
      <c r="O1" t="s">
        <v>86</v>
      </c>
    </row>
    <row r="2" spans="1:15" x14ac:dyDescent="0.2">
      <c r="A2" t="s">
        <v>90</v>
      </c>
      <c r="B2" t="str" cm="1">
        <f t="array" ref="B2">_xlfn.IFS(
ISNUMBER(SEARCH("*AUHV*",A2)),"AUHV",
ISNUMBER(SEARCH("*MNHV*",A2)),"MNHV",
ISNUMBER(SEARCH("*BWW*",A2)),"BWW",
ISNUMBER(SEARCH("*SWW*",A2)),"SWW",
ISNUMBER(SEARCH("*ORG*",A2)),"ORG",
ISNUMBER(SEARCH("*PRY*",A2)),"PRY",
ISNUMBER(SEARCH("*RCL*",A2)),"RCL"
)</f>
        <v>AUHV</v>
      </c>
      <c r="C2" t="str" cm="1">
        <f t="array" ref="C2">_xlfn.IFS(
ISNUMBER(SEARCH("IV*",A2)),"IV",
ISNUMBER(SEARCH("III*",A2)),"III",
ISNUMBER(SEARCH("II*",A2)),"II",
ISNUMBER(SEARCH("I*",A2)),"I")</f>
        <v>I</v>
      </c>
      <c r="D2">
        <v>68.42</v>
      </c>
      <c r="E2">
        <v>19.78</v>
      </c>
      <c r="F2">
        <f>D2-E2</f>
        <v>48.64</v>
      </c>
      <c r="G2" cm="1">
        <f t="array" ref="G2">AVERAGE(IF((Root_core!$C:$C=C2)*(Root_core!$B:$B=B2),Root_core!D:D))</f>
        <v>0.19296666666666665</v>
      </c>
      <c r="H2" cm="1">
        <f t="array" ref="H2">AVERAGE(IF((soil_percent_dry_weight!$C:$C=C2)*(soil_percent_dry_weight!$B:$B=B2),soil_percent_dry_weight!D:D))/100</f>
        <v>0.86743488728572116</v>
      </c>
      <c r="I2">
        <f>G2*H2</f>
        <v>0.16738601874990131</v>
      </c>
    </row>
    <row r="3" spans="1:15" x14ac:dyDescent="0.2">
      <c r="A3" t="s">
        <v>91</v>
      </c>
      <c r="B3" t="str" cm="1">
        <f t="array" ref="B3">_xlfn.IFS(
ISNUMBER(SEARCH("*AUHV*",A3)),"AUHV",
ISNUMBER(SEARCH("*MNHV*",A3)),"MNHV",
ISNUMBER(SEARCH("*BWW*",A3)),"BWW",
ISNUMBER(SEARCH("*SWW*",A3)),"SWW",
ISNUMBER(SEARCH("*ORG*",A3)),"ORG",
ISNUMBER(SEARCH("*PRY*",A3)),"PRY",
ISNUMBER(SEARCH("*RCL*",A3)),"RCL"
)</f>
        <v>MNHV</v>
      </c>
      <c r="C3" t="str" cm="1">
        <f t="array" ref="C3">_xlfn.IFS(
ISNUMBER(SEARCH("IV*",A3)),"IV",
ISNUMBER(SEARCH("III*",A3)),"III",
ISNUMBER(SEARCH("II*",A3)),"II",
ISNUMBER(SEARCH("I*",A3)),"I")</f>
        <v>I</v>
      </c>
      <c r="D3">
        <v>54.5</v>
      </c>
      <c r="E3">
        <v>19.36</v>
      </c>
      <c r="F3">
        <f t="shared" ref="F3:F23" si="0">D3-E3</f>
        <v>35.14</v>
      </c>
      <c r="G3" cm="1">
        <f t="array" ref="G3">AVERAGE(IF((Root_core!$C:$C=C3)*(Root_core!$B:$B=B3),Root_core!D:D))</f>
        <v>0.11316666666666665</v>
      </c>
      <c r="H3" cm="1">
        <f t="array" ref="H3">AVERAGE(IF((soil_percent_dry_weight!$C:$C=C3)*(soil_percent_dry_weight!$B:$B=B3),soil_percent_dry_weight!D:D))/100</f>
        <v>0.84332687020069597</v>
      </c>
      <c r="I3">
        <f t="shared" ref="I3:I29" si="1">G3*H3</f>
        <v>9.543649081104541E-2</v>
      </c>
    </row>
    <row r="4" spans="1:15" x14ac:dyDescent="0.2">
      <c r="A4" t="s">
        <v>92</v>
      </c>
      <c r="B4" t="str" cm="1">
        <f t="array" ref="B4">_xlfn.IFS(
ISNUMBER(SEARCH("*AUHV*",A4)),"AUHV",
ISNUMBER(SEARCH("*MNHV*",A4)),"MNHV",
ISNUMBER(SEARCH("*BWW*",A4)),"BWW",
ISNUMBER(SEARCH("*SWW*",A4)),"SWW",
ISNUMBER(SEARCH("*ORG*",A4)),"ORG",
ISNUMBER(SEARCH("*PRY*",A4)),"PRY",
ISNUMBER(SEARCH("*RCL*",A4)),"RCL"
)</f>
        <v>BWW</v>
      </c>
      <c r="C4" t="str" cm="1">
        <f t="array" ref="C4">_xlfn.IFS(
ISNUMBER(SEARCH("IV*",A4)),"IV",
ISNUMBER(SEARCH("III*",A4)),"III",
ISNUMBER(SEARCH("II*",A4)),"II",
ISNUMBER(SEARCH("I*",A4)),"I")</f>
        <v>I</v>
      </c>
      <c r="D4">
        <v>44.2</v>
      </c>
      <c r="E4">
        <v>19.940000000000001</v>
      </c>
      <c r="F4">
        <f t="shared" si="0"/>
        <v>24.26</v>
      </c>
      <c r="G4" cm="1">
        <f t="array" ref="G4">AVERAGE(IF((Root_core!$C:$C=C4)*(Root_core!$B:$B=B4),Root_core!D:D))</f>
        <v>7.2933333333333336E-2</v>
      </c>
      <c r="H4" cm="1">
        <f t="array" ref="H4">AVERAGE(IF((soil_percent_dry_weight!$C:$C=C4)*(soil_percent_dry_weight!$B:$B=B4),soil_percent_dry_weight!D:D))/100</f>
        <v>0.85829727507536935</v>
      </c>
      <c r="I4">
        <f t="shared" si="1"/>
        <v>6.2598481262163608E-2</v>
      </c>
    </row>
    <row r="5" spans="1:15" x14ac:dyDescent="0.2">
      <c r="A5" t="s">
        <v>93</v>
      </c>
      <c r="B5" t="str" cm="1">
        <f t="array" ref="B5">_xlfn.IFS(
ISNUMBER(SEARCH("*AUHV*",A5)),"AUHV",
ISNUMBER(SEARCH("*MNHV*",A5)),"MNHV",
ISNUMBER(SEARCH("*BWW*",A5)),"BWW",
ISNUMBER(SEARCH("*SWW*",A5)),"SWW",
ISNUMBER(SEARCH("*ORG*",A5)),"ORG",
ISNUMBER(SEARCH("*PRY*",A5)),"PRY",
ISNUMBER(SEARCH("*RCL*",A5)),"RCL"
)</f>
        <v>SWW</v>
      </c>
      <c r="C5" t="str" cm="1">
        <f t="array" ref="C5">_xlfn.IFS(
ISNUMBER(SEARCH("IV*",A5)),"IV",
ISNUMBER(SEARCH("III*",A5)),"III",
ISNUMBER(SEARCH("II*",A5)),"II",
ISNUMBER(SEARCH("I*",A5)),"I")</f>
        <v>I</v>
      </c>
      <c r="D5">
        <v>63.12</v>
      </c>
      <c r="E5">
        <v>19.96</v>
      </c>
      <c r="F5">
        <f t="shared" si="0"/>
        <v>43.16</v>
      </c>
      <c r="G5" cm="1">
        <f t="array" ref="G5">AVERAGE(IF((Root_core!$C:$C=C5)*(Root_core!$B:$B=B5),Root_core!D:D))</f>
        <v>9.2299999999999993E-2</v>
      </c>
      <c r="H5" cm="1">
        <f t="array" ref="H5">AVERAGE(IF((soil_percent_dry_weight!$C:$C=C5)*(soil_percent_dry_weight!$B:$B=B5),soil_percent_dry_weight!D:D))/100</f>
        <v>0.85638601141993465</v>
      </c>
      <c r="I5">
        <f t="shared" si="1"/>
        <v>7.9044428854059962E-2</v>
      </c>
    </row>
    <row r="6" spans="1:15" x14ac:dyDescent="0.2">
      <c r="A6" s="1" t="s">
        <v>94</v>
      </c>
      <c r="B6" t="str" cm="1">
        <f t="array" ref="B6">_xlfn.IFS(
ISNUMBER(SEARCH("*AUHV*",A6)),"AUHV",
ISNUMBER(SEARCH("*MNHV*",A6)),"MNHV",
ISNUMBER(SEARCH("*BWW*",A6)),"BWW",
ISNUMBER(SEARCH("*SWW*",A6)),"SWW",
ISNUMBER(SEARCH("*ORG*",A6)),"ORG",
ISNUMBER(SEARCH("*PRY*",A6)),"PRY",
ISNUMBER(SEARCH("*RCL*",A6)),"RCL"
)</f>
        <v>ORG</v>
      </c>
      <c r="C6" t="str" cm="1">
        <f t="array" ref="C6">_xlfn.IFS(
ISNUMBER(SEARCH("IV*",A6)),"IV",
ISNUMBER(SEARCH("III*",A6)),"III",
ISNUMBER(SEARCH("II*",A6)),"II",
ISNUMBER(SEARCH("I*",A6)),"I")</f>
        <v>I</v>
      </c>
      <c r="D6">
        <v>103.66</v>
      </c>
      <c r="E6">
        <v>19.829999999999998</v>
      </c>
      <c r="F6">
        <f t="shared" si="0"/>
        <v>83.83</v>
      </c>
      <c r="G6" cm="1">
        <f t="array" ref="G6">AVERAGE(IF((Root_core!$C:$C=C6)*(Root_core!$B:$B=B6),Root_core!D:D))</f>
        <v>0.58239999999999992</v>
      </c>
      <c r="H6" cm="1">
        <f t="array" ref="H6">AVERAGE(IF((soil_percent_dry_weight!$C:$C=C6)*(soil_percent_dry_weight!$B:$B=B6),soil_percent_dry_weight!D:D))/100</f>
        <v>0.78637624704989817</v>
      </c>
      <c r="I6">
        <f t="shared" si="1"/>
        <v>0.45798552628186062</v>
      </c>
    </row>
    <row r="7" spans="1:15" x14ac:dyDescent="0.2">
      <c r="A7" s="1" t="s">
        <v>95</v>
      </c>
      <c r="B7" t="str" cm="1">
        <f t="array" ref="B7">_xlfn.IFS(
ISNUMBER(SEARCH("*AUHV*",A7)),"AUHV",
ISNUMBER(SEARCH("*MNHV*",A7)),"MNHV",
ISNUMBER(SEARCH("*BWW*",A7)),"BWW",
ISNUMBER(SEARCH("*SWW*",A7)),"SWW",
ISNUMBER(SEARCH("*ORG*",A7)),"ORG",
ISNUMBER(SEARCH("*PRY*",A7)),"PRY",
ISNUMBER(SEARCH("*RCL*",A7)),"RCL"
)</f>
        <v>PRY</v>
      </c>
      <c r="C7" t="str" cm="1">
        <f t="array" ref="C7">_xlfn.IFS(
ISNUMBER(SEARCH("IV*",A7)),"IV",
ISNUMBER(SEARCH("III*",A7)),"III",
ISNUMBER(SEARCH("II*",A7)),"II",
ISNUMBER(SEARCH("I*",A7)),"I")</f>
        <v>I</v>
      </c>
      <c r="D7">
        <v>52.41</v>
      </c>
      <c r="E7">
        <v>19.87</v>
      </c>
      <c r="F7">
        <f t="shared" si="0"/>
        <v>32.539999999999992</v>
      </c>
      <c r="G7" cm="1">
        <f t="array" ref="G7">AVERAGE(IF((Root_core!$C:$C=C7)*(Root_core!$B:$B=B7),Root_core!D:D))</f>
        <v>0.52503333333333335</v>
      </c>
      <c r="H7" cm="1">
        <f t="array" ref="H7">AVERAGE(IF((soil_percent_dry_weight!$C:$C=C7)*(soil_percent_dry_weight!$B:$B=B7),soil_percent_dry_weight!D:D))/100</f>
        <v>0.88173817831278778</v>
      </c>
      <c r="I7">
        <f t="shared" si="1"/>
        <v>0.462941934886824</v>
      </c>
      <c r="J7" t="s">
        <v>122</v>
      </c>
    </row>
    <row r="8" spans="1:15" x14ac:dyDescent="0.2">
      <c r="A8" s="1" t="s">
        <v>96</v>
      </c>
      <c r="B8" t="str" cm="1">
        <f t="array" ref="B8">_xlfn.IFS(
ISNUMBER(SEARCH("*AUHV*",A8)),"AUHV",
ISNUMBER(SEARCH("*MNHV*",A8)),"MNHV",
ISNUMBER(SEARCH("*BWW*",A8)),"BWW",
ISNUMBER(SEARCH("*SWW*",A8)),"SWW",
ISNUMBER(SEARCH("*ORG*",A8)),"ORG",
ISNUMBER(SEARCH("*PRY*",A8)),"PRY",
ISNUMBER(SEARCH("*RCL*",A8)),"RCL"
)</f>
        <v>RCL</v>
      </c>
      <c r="C8" t="str" cm="1">
        <f t="array" ref="C8">_xlfn.IFS(
ISNUMBER(SEARCH("IV*",A8)),"IV",
ISNUMBER(SEARCH("III*",A8)),"III",
ISNUMBER(SEARCH("II*",A8)),"II",
ISNUMBER(SEARCH("I*",A8)),"I")</f>
        <v>I</v>
      </c>
      <c r="D8">
        <v>69.7</v>
      </c>
      <c r="E8">
        <v>19.600000000000001</v>
      </c>
      <c r="F8">
        <f t="shared" si="0"/>
        <v>50.1</v>
      </c>
      <c r="G8" cm="1">
        <f t="array" ref="G8">AVERAGE(IF((Root_core!$C:$C=C8)*(Root_core!$B:$B=B8),Root_core!D:D))</f>
        <v>0.22136666666666668</v>
      </c>
      <c r="H8" cm="1">
        <f t="array" ref="H8">AVERAGE(IF((soil_percent_dry_weight!$C:$C=C8)*(soil_percent_dry_weight!$B:$B=B8),soil_percent_dry_weight!D:D))/100</f>
        <v>0.84515777008125559</v>
      </c>
      <c r="I8">
        <f t="shared" si="1"/>
        <v>0.18708975837032063</v>
      </c>
    </row>
    <row r="9" spans="1:15" x14ac:dyDescent="0.2">
      <c r="A9" t="s">
        <v>97</v>
      </c>
      <c r="B9" t="str" cm="1">
        <f t="array" ref="B9">_xlfn.IFS(
ISNUMBER(SEARCH("*AUHV*",A9)),"AUHV",
ISNUMBER(SEARCH("*MNHV*",A9)),"MNHV",
ISNUMBER(SEARCH("*BWW*",A9)),"BWW",
ISNUMBER(SEARCH("*SWW*",A9)),"SWW",
ISNUMBER(SEARCH("*ORG*",A9)),"ORG",
ISNUMBER(SEARCH("*PRY*",A9)),"PRY",
ISNUMBER(SEARCH("*RCL*",A9)),"RCL"
)</f>
        <v>AUHV</v>
      </c>
      <c r="C9" t="str" cm="1">
        <f t="array" ref="C9">_xlfn.IFS(
ISNUMBER(SEARCH("IV*",A9)),"IV",
ISNUMBER(SEARCH("III*",A9)),"III",
ISNUMBER(SEARCH("II*",A9)),"II",
ISNUMBER(SEARCH("I*",A9)),"I")</f>
        <v>II</v>
      </c>
      <c r="D9">
        <v>44.07</v>
      </c>
      <c r="E9">
        <v>19.850000000000001</v>
      </c>
      <c r="F9">
        <f t="shared" si="0"/>
        <v>24.22</v>
      </c>
      <c r="G9" cm="1">
        <f t="array" ref="G9">AVERAGE(IF((Root_core!$C:$C=C9)*(Root_core!$B:$B=B9),Root_core!D:D))</f>
        <v>7.0366666666666675E-2</v>
      </c>
      <c r="H9" cm="1">
        <f t="array" ref="H9">AVERAGE(IF((soil_percent_dry_weight!$C:$C=C9)*(soil_percent_dry_weight!$B:$B=B9),soil_percent_dry_weight!D:D))/100</f>
        <v>0.86015490533562822</v>
      </c>
      <c r="I9">
        <f t="shared" si="1"/>
        <v>6.0526233505450382E-2</v>
      </c>
    </row>
    <row r="10" spans="1:15" x14ac:dyDescent="0.2">
      <c r="A10" t="s">
        <v>98</v>
      </c>
      <c r="B10" t="str" cm="1">
        <f t="array" ref="B10">_xlfn.IFS(
ISNUMBER(SEARCH("*AUHV*",A10)),"AUHV",
ISNUMBER(SEARCH("*MNHV*",A10)),"MNHV",
ISNUMBER(SEARCH("*BWW*",A10)),"BWW",
ISNUMBER(SEARCH("*SWW*",A10)),"SWW",
ISNUMBER(SEARCH("*ORG*",A10)),"ORG",
ISNUMBER(SEARCH("*PRY*",A10)),"PRY",
ISNUMBER(SEARCH("*RCL*",A10)),"RCL"
)</f>
        <v>MNHV</v>
      </c>
      <c r="C10" t="str" cm="1">
        <f t="array" ref="C10">_xlfn.IFS(
ISNUMBER(SEARCH("IV*",A10)),"IV",
ISNUMBER(SEARCH("III*",A10)),"III",
ISNUMBER(SEARCH("II*",A10)),"II",
ISNUMBER(SEARCH("I*",A10)),"I")</f>
        <v>II</v>
      </c>
      <c r="D10">
        <v>66.44</v>
      </c>
      <c r="E10">
        <v>19.78</v>
      </c>
      <c r="F10">
        <f t="shared" si="0"/>
        <v>46.66</v>
      </c>
      <c r="G10" cm="1">
        <f t="array" ref="G10">AVERAGE(IF((Root_core!$C:$C=C10)*(Root_core!$B:$B=B10),Root_core!D:D))</f>
        <v>9.1366666666666665E-2</v>
      </c>
      <c r="H10" cm="1">
        <f t="array" ref="H10">AVERAGE(IF((soil_percent_dry_weight!$C:$C=C10)*(soil_percent_dry_weight!$B:$B=B10),soil_percent_dry_weight!D:D))/100</f>
        <v>0.86566101245203386</v>
      </c>
      <c r="I10">
        <f t="shared" si="1"/>
        <v>7.9092561171034165E-2</v>
      </c>
    </row>
    <row r="11" spans="1:15" x14ac:dyDescent="0.2">
      <c r="A11" t="s">
        <v>99</v>
      </c>
      <c r="B11" t="str" cm="1">
        <f t="array" ref="B11">_xlfn.IFS(
ISNUMBER(SEARCH("*AUHV*",A11)),"AUHV",
ISNUMBER(SEARCH("*MNHV*",A11)),"MNHV",
ISNUMBER(SEARCH("*BWW*",A11)),"BWW",
ISNUMBER(SEARCH("*SWW*",A11)),"SWW",
ISNUMBER(SEARCH("*ORG*",A11)),"ORG",
ISNUMBER(SEARCH("*PRY*",A11)),"PRY",
ISNUMBER(SEARCH("*RCL*",A11)),"RCL"
)</f>
        <v>BWW</v>
      </c>
      <c r="C11" t="str" cm="1">
        <f t="array" ref="C11">_xlfn.IFS(
ISNUMBER(SEARCH("IV*",A11)),"IV",
ISNUMBER(SEARCH("III*",A11)),"III",
ISNUMBER(SEARCH("II*",A11)),"II",
ISNUMBER(SEARCH("I*",A11)),"I")</f>
        <v>II</v>
      </c>
      <c r="D11">
        <v>100.94</v>
      </c>
      <c r="E11">
        <v>19.940000000000001</v>
      </c>
      <c r="F11">
        <f t="shared" si="0"/>
        <v>81</v>
      </c>
      <c r="G11" cm="1">
        <f t="array" ref="G11">AVERAGE(IF((Root_core!$C:$C=C11)*(Root_core!$B:$B=B11),Root_core!D:D))</f>
        <v>7.7100000000000002E-2</v>
      </c>
      <c r="H11" cm="1">
        <f t="array" ref="H11">AVERAGE(IF((soil_percent_dry_weight!$C:$C=C11)*(soil_percent_dry_weight!$B:$B=B11),soil_percent_dry_weight!D:D))/100</f>
        <v>0.84888886765773686</v>
      </c>
      <c r="I11">
        <f t="shared" si="1"/>
        <v>6.5449331696411511E-2</v>
      </c>
    </row>
    <row r="12" spans="1:15" x14ac:dyDescent="0.2">
      <c r="A12" t="s">
        <v>100</v>
      </c>
      <c r="B12" t="str" cm="1">
        <f t="array" ref="B12">_xlfn.IFS(
ISNUMBER(SEARCH("*AUHV*",A12)),"AUHV",
ISNUMBER(SEARCH("*MNHV*",A12)),"MNHV",
ISNUMBER(SEARCH("*BWW*",A12)),"BWW",
ISNUMBER(SEARCH("*SWW*",A12)),"SWW",
ISNUMBER(SEARCH("*ORG*",A12)),"ORG",
ISNUMBER(SEARCH("*PRY*",A12)),"PRY",
ISNUMBER(SEARCH("*RCL*",A12)),"RCL"
)</f>
        <v>SWW</v>
      </c>
      <c r="C12" t="str" cm="1">
        <f t="array" ref="C12">_xlfn.IFS(
ISNUMBER(SEARCH("IV*",A12)),"IV",
ISNUMBER(SEARCH("III*",A12)),"III",
ISNUMBER(SEARCH("II*",A12)),"II",
ISNUMBER(SEARCH("I*",A12)),"I")</f>
        <v>II</v>
      </c>
      <c r="D12">
        <v>68.05</v>
      </c>
      <c r="E12">
        <v>19.86</v>
      </c>
      <c r="F12">
        <f t="shared" si="0"/>
        <v>48.19</v>
      </c>
      <c r="G12" cm="1">
        <f t="array" ref="G12">AVERAGE(IF((Root_core!$C:$C=C12)*(Root_core!$B:$B=B12),Root_core!D:D))</f>
        <v>8.1333333333333327E-2</v>
      </c>
      <c r="H12" cm="1">
        <f t="array" ref="H12">AVERAGE(IF((soil_percent_dry_weight!$C:$C=C12)*(soil_percent_dry_weight!$B:$B=B12),soil_percent_dry_weight!D:D))/100</f>
        <v>0.88096635629478015</v>
      </c>
      <c r="I12">
        <f t="shared" si="1"/>
        <v>7.1651930311975448E-2</v>
      </c>
    </row>
    <row r="13" spans="1:15" x14ac:dyDescent="0.2">
      <c r="A13" s="1" t="s">
        <v>101</v>
      </c>
      <c r="B13" t="str" cm="1">
        <f t="array" ref="B13">_xlfn.IFS(
ISNUMBER(SEARCH("*AUHV*",A13)),"AUHV",
ISNUMBER(SEARCH("*MNHV*",A13)),"MNHV",
ISNUMBER(SEARCH("*BWW*",A13)),"BWW",
ISNUMBER(SEARCH("*SWW*",A13)),"SWW",
ISNUMBER(SEARCH("*ORG*",A13)),"ORG",
ISNUMBER(SEARCH("*PRY*",A13)),"PRY",
ISNUMBER(SEARCH("*RCL*",A13)),"RCL"
)</f>
        <v>ORG</v>
      </c>
      <c r="C13" t="str" cm="1">
        <f t="array" ref="C13">_xlfn.IFS(
ISNUMBER(SEARCH("IV*",A13)),"IV",
ISNUMBER(SEARCH("III*",A13)),"III",
ISNUMBER(SEARCH("II*",A13)),"II",
ISNUMBER(SEARCH("I*",A13)),"I")</f>
        <v>II</v>
      </c>
      <c r="D13">
        <v>121.51</v>
      </c>
      <c r="E13">
        <v>19.84</v>
      </c>
      <c r="F13">
        <f t="shared" si="0"/>
        <v>101.67</v>
      </c>
      <c r="G13" cm="1">
        <f t="array" ref="G13">AVERAGE(IF((Root_core!$C:$C=C13)*(Root_core!$B:$B=B13),Root_core!D:D))</f>
        <v>1.3356000000000001</v>
      </c>
      <c r="H13" cm="1">
        <f t="array" ref="H13">AVERAGE(IF((soil_percent_dry_weight!$C:$C=C13)*(soil_percent_dry_weight!$B:$B=B13),soil_percent_dry_weight!D:D))/100</f>
        <v>0.89414936810289647</v>
      </c>
      <c r="I13">
        <f t="shared" si="1"/>
        <v>1.1942258960382286</v>
      </c>
    </row>
    <row r="14" spans="1:15" x14ac:dyDescent="0.2">
      <c r="A14" s="1" t="s">
        <v>102</v>
      </c>
      <c r="B14" t="str" cm="1">
        <f t="array" ref="B14">_xlfn.IFS(
ISNUMBER(SEARCH("*AUHV*",A14)),"AUHV",
ISNUMBER(SEARCH("*MNHV*",A14)),"MNHV",
ISNUMBER(SEARCH("*BWW*",A14)),"BWW",
ISNUMBER(SEARCH("*SWW*",A14)),"SWW",
ISNUMBER(SEARCH("*ORG*",A14)),"ORG",
ISNUMBER(SEARCH("*PRY*",A14)),"PRY",
ISNUMBER(SEARCH("*RCL*",A14)),"RCL"
)</f>
        <v>PRY</v>
      </c>
      <c r="C14" t="str" cm="1">
        <f t="array" ref="C14">_xlfn.IFS(
ISNUMBER(SEARCH("IV*",A14)),"IV",
ISNUMBER(SEARCH("III*",A14)),"III",
ISNUMBER(SEARCH("II*",A14)),"II",
ISNUMBER(SEARCH("I*",A14)),"I")</f>
        <v>II</v>
      </c>
      <c r="D14">
        <v>119.28</v>
      </c>
      <c r="E14">
        <v>19.78</v>
      </c>
      <c r="F14">
        <f t="shared" si="0"/>
        <v>99.5</v>
      </c>
      <c r="G14" cm="1">
        <f t="array" ref="G14">AVERAGE(IF((Root_core!$C:$C=C14)*(Root_core!$B:$B=B14),Root_core!D:D))</f>
        <v>0.70126666666666659</v>
      </c>
      <c r="H14" cm="1">
        <f t="array" ref="H14">AVERAGE(IF((soil_percent_dry_weight!$C:$C=C14)*(soil_percent_dry_weight!$B:$B=B14),soil_percent_dry_weight!D:D))/100</f>
        <v>0.88237354563634085</v>
      </c>
      <c r="I14">
        <f t="shared" si="1"/>
        <v>0.61877915510324455</v>
      </c>
    </row>
    <row r="15" spans="1:15" x14ac:dyDescent="0.2">
      <c r="A15" s="1" t="s">
        <v>103</v>
      </c>
      <c r="B15" t="str" cm="1">
        <f t="array" ref="B15">_xlfn.IFS(
ISNUMBER(SEARCH("*AUHV*",A15)),"AUHV",
ISNUMBER(SEARCH("*MNHV*",A15)),"MNHV",
ISNUMBER(SEARCH("*BWW*",A15)),"BWW",
ISNUMBER(SEARCH("*SWW*",A15)),"SWW",
ISNUMBER(SEARCH("*ORG*",A15)),"ORG",
ISNUMBER(SEARCH("*PRY*",A15)),"PRY",
ISNUMBER(SEARCH("*RCL*",A15)),"RCL"
)</f>
        <v>RCL</v>
      </c>
      <c r="C15" t="str" cm="1">
        <f t="array" ref="C15">_xlfn.IFS(
ISNUMBER(SEARCH("IV*",A15)),"IV",
ISNUMBER(SEARCH("III*",A15)),"III",
ISNUMBER(SEARCH("II*",A15)),"II",
ISNUMBER(SEARCH("I*",A15)),"I")</f>
        <v>II</v>
      </c>
      <c r="D15">
        <v>87.05</v>
      </c>
      <c r="E15">
        <f>19.88+19.67</f>
        <v>39.549999999999997</v>
      </c>
      <c r="F15">
        <f t="shared" si="0"/>
        <v>47.5</v>
      </c>
      <c r="G15" cm="1">
        <f t="array" ref="G15">AVERAGE(IF((Root_core!$C:$C=C15)*(Root_core!$B:$B=B15),Root_core!D:D))</f>
        <v>0.33929999999999999</v>
      </c>
      <c r="H15" cm="1">
        <f t="array" ref="H15">AVERAGE(IF((soil_percent_dry_weight!$C:$C=C15)*(soil_percent_dry_weight!$B:$B=B15),soil_percent_dry_weight!D:D))/100</f>
        <v>0.86988595700481963</v>
      </c>
      <c r="I15">
        <f t="shared" si="1"/>
        <v>0.2951523052117353</v>
      </c>
    </row>
    <row r="16" spans="1:15" x14ac:dyDescent="0.2">
      <c r="A16" s="1" t="s">
        <v>104</v>
      </c>
      <c r="B16" t="str" cm="1">
        <f t="array" ref="B16">_xlfn.IFS(
ISNUMBER(SEARCH("*AUHV*",A16)),"AUHV",
ISNUMBER(SEARCH("*MNHV*",A16)),"MNHV",
ISNUMBER(SEARCH("*BWW*",A16)),"BWW",
ISNUMBER(SEARCH("*SWW*",A16)),"SWW",
ISNUMBER(SEARCH("*ORG*",A16)),"ORG",
ISNUMBER(SEARCH("*PRY*",A16)),"PRY",
ISNUMBER(SEARCH("*RCL*",A16)),"RCL"
)</f>
        <v>AUHV</v>
      </c>
      <c r="C16" t="str" cm="1">
        <f t="array" ref="C16">_xlfn.IFS(
ISNUMBER(SEARCH("IV*",A16)),"IV",
ISNUMBER(SEARCH("III*",A16)),"III",
ISNUMBER(SEARCH("II*",A16)),"II",
ISNUMBER(SEARCH("I*",A16)),"I")</f>
        <v>III</v>
      </c>
      <c r="D16">
        <v>54.66</v>
      </c>
      <c r="E16">
        <v>19.87</v>
      </c>
      <c r="F16">
        <f t="shared" si="0"/>
        <v>34.789999999999992</v>
      </c>
      <c r="G16" cm="1">
        <f t="array" ref="G16">AVERAGE(IF((Root_core!$C:$C=C16)*(Root_core!$B:$B=B16),Root_core!D:D))</f>
        <v>0.1351</v>
      </c>
      <c r="H16" cm="1">
        <f t="array" ref="H16">AVERAGE(IF((soil_percent_dry_weight!$C:$C=C16)*(soil_percent_dry_weight!$B:$B=B16),soil_percent_dry_weight!D:D))/100</f>
        <v>0.80892096700150662</v>
      </c>
      <c r="I16">
        <f t="shared" si="1"/>
        <v>0.10928522264190355</v>
      </c>
    </row>
    <row r="17" spans="1:9" x14ac:dyDescent="0.2">
      <c r="A17" s="1" t="s">
        <v>105</v>
      </c>
      <c r="B17" t="str" cm="1">
        <f t="array" ref="B17">_xlfn.IFS(
ISNUMBER(SEARCH("*AUHV*",A17)),"AUHV",
ISNUMBER(SEARCH("*MNHV*",A17)),"MNHV",
ISNUMBER(SEARCH("*BWW*",A17)),"BWW",
ISNUMBER(SEARCH("*SWW*",A17)),"SWW",
ISNUMBER(SEARCH("*ORG*",A17)),"ORG",
ISNUMBER(SEARCH("*PRY*",A17)),"PRY",
ISNUMBER(SEARCH("*RCL*",A17)),"RCL"
)</f>
        <v>MNHV</v>
      </c>
      <c r="C17" t="str" cm="1">
        <f t="array" ref="C17">_xlfn.IFS(
ISNUMBER(SEARCH("IV*",A17)),"IV",
ISNUMBER(SEARCH("III*",A17)),"III",
ISNUMBER(SEARCH("II*",A17)),"II",
ISNUMBER(SEARCH("I*",A17)),"I")</f>
        <v>III</v>
      </c>
      <c r="D17">
        <v>43.42</v>
      </c>
      <c r="E17">
        <v>19.75</v>
      </c>
      <c r="F17">
        <f t="shared" si="0"/>
        <v>23.67</v>
      </c>
      <c r="G17" cm="1">
        <f t="array" ref="G17">AVERAGE(IF((Root_core!$C:$C=C17)*(Root_core!$B:$B=B17),Root_core!D:D))</f>
        <v>0.17963333333333331</v>
      </c>
      <c r="H17" cm="1">
        <f t="array" ref="H17">AVERAGE(IF((soil_percent_dry_weight!$C:$C=C17)*(soil_percent_dry_weight!$B:$B=B17),soil_percent_dry_weight!D:D))/100</f>
        <v>0.81215519293637062</v>
      </c>
      <c r="I17">
        <f t="shared" si="1"/>
        <v>0.14589014449113669</v>
      </c>
    </row>
    <row r="18" spans="1:9" x14ac:dyDescent="0.2">
      <c r="A18" s="1" t="s">
        <v>106</v>
      </c>
      <c r="B18" t="str" cm="1">
        <f t="array" ref="B18">_xlfn.IFS(
ISNUMBER(SEARCH("*AUHV*",A18)),"AUHV",
ISNUMBER(SEARCH("*MNHV*",A18)),"MNHV",
ISNUMBER(SEARCH("*BWW*",A18)),"BWW",
ISNUMBER(SEARCH("*SWW*",A18)),"SWW",
ISNUMBER(SEARCH("*ORG*",A18)),"ORG",
ISNUMBER(SEARCH("*PRY*",A18)),"PRY",
ISNUMBER(SEARCH("*RCL*",A18)),"RCL"
)</f>
        <v>BWW</v>
      </c>
      <c r="C18" t="str" cm="1">
        <f t="array" ref="C18">_xlfn.IFS(
ISNUMBER(SEARCH("IV*",A18)),"IV",
ISNUMBER(SEARCH("III*",A18)),"III",
ISNUMBER(SEARCH("II*",A18)),"II",
ISNUMBER(SEARCH("I*",A18)),"I")</f>
        <v>III</v>
      </c>
      <c r="D18">
        <v>47.67</v>
      </c>
      <c r="E18">
        <v>19.989999999999998</v>
      </c>
      <c r="F18">
        <f t="shared" si="0"/>
        <v>27.680000000000003</v>
      </c>
      <c r="G18" cm="1">
        <f t="array" ref="G18">AVERAGE(IF((Root_core!$C:$C=C18)*(Root_core!$B:$B=B18),Root_core!D:D))</f>
        <v>6.9366666666666674E-2</v>
      </c>
      <c r="H18" cm="1">
        <f t="array" ref="H18">AVERAGE(IF((soil_percent_dry_weight!$C:$C=C18)*(soil_percent_dry_weight!$B:$B=B18),soil_percent_dry_weight!D:D))/100</f>
        <v>0.80623776609038456</v>
      </c>
      <c r="I18">
        <f t="shared" si="1"/>
        <v>5.5926026374469681E-2</v>
      </c>
    </row>
    <row r="19" spans="1:9" x14ac:dyDescent="0.2">
      <c r="A19" s="1" t="s">
        <v>107</v>
      </c>
      <c r="B19" t="str" cm="1">
        <f t="array" ref="B19">_xlfn.IFS(
ISNUMBER(SEARCH("*AUHV*",A19)),"AUHV",
ISNUMBER(SEARCH("*MNHV*",A19)),"MNHV",
ISNUMBER(SEARCH("*BWW*",A19)),"BWW",
ISNUMBER(SEARCH("*SWW*",A19)),"SWW",
ISNUMBER(SEARCH("*ORG*",A19)),"ORG",
ISNUMBER(SEARCH("*PRY*",A19)),"PRY",
ISNUMBER(SEARCH("*RCL*",A19)),"RCL"
)</f>
        <v>SWW</v>
      </c>
      <c r="C19" t="str" cm="1">
        <f t="array" ref="C19">_xlfn.IFS(
ISNUMBER(SEARCH("IV*",A19)),"IV",
ISNUMBER(SEARCH("III*",A19)),"III",
ISNUMBER(SEARCH("II*",A19)),"II",
ISNUMBER(SEARCH("I*",A19)),"I")</f>
        <v>III</v>
      </c>
      <c r="D19">
        <v>44.82</v>
      </c>
      <c r="E19">
        <v>19.940000000000001</v>
      </c>
      <c r="F19">
        <f t="shared" si="0"/>
        <v>24.88</v>
      </c>
      <c r="G19" cm="1">
        <f t="array" ref="G19">AVERAGE(IF((Root_core!$C:$C=C19)*(Root_core!$B:$B=B19),Root_core!D:D))</f>
        <v>5.0066666666666669E-2</v>
      </c>
      <c r="H19" cm="1">
        <f t="array" ref="H19">AVERAGE(IF((soil_percent_dry_weight!$C:$C=C19)*(soil_percent_dry_weight!$B:$B=B19),soil_percent_dry_weight!D:D))/100</f>
        <v>0.79925163102356578</v>
      </c>
      <c r="I19">
        <f t="shared" si="1"/>
        <v>4.0015864993246532E-2</v>
      </c>
    </row>
    <row r="20" spans="1:9" x14ac:dyDescent="0.2">
      <c r="A20" s="1" t="s">
        <v>108</v>
      </c>
      <c r="B20" t="str" cm="1">
        <f t="array" ref="B20">_xlfn.IFS(
ISNUMBER(SEARCH("*AUHV*",A20)),"AUHV",
ISNUMBER(SEARCH("*MNHV*",A20)),"MNHV",
ISNUMBER(SEARCH("*BWW*",A20)),"BWW",
ISNUMBER(SEARCH("*SWW*",A20)),"SWW",
ISNUMBER(SEARCH("*ORG*",A20)),"ORG",
ISNUMBER(SEARCH("*PRY*",A20)),"PRY",
ISNUMBER(SEARCH("*RCL*",A20)),"RCL"
)</f>
        <v>ORG</v>
      </c>
      <c r="C20" t="str" cm="1">
        <f t="array" ref="C20">_xlfn.IFS(
ISNUMBER(SEARCH("IV*",A20)),"IV",
ISNUMBER(SEARCH("III*",A20)),"III",
ISNUMBER(SEARCH("II*",A20)),"II",
ISNUMBER(SEARCH("I*",A20)),"I")</f>
        <v>III</v>
      </c>
      <c r="D20">
        <v>67.13</v>
      </c>
      <c r="E20">
        <v>19.760000000000002</v>
      </c>
      <c r="F20">
        <f t="shared" si="0"/>
        <v>47.36999999999999</v>
      </c>
      <c r="G20" cm="1">
        <f t="array" ref="G20">AVERAGE(IF((Root_core!$C:$C=C20)*(Root_core!$B:$B=B20),Root_core!D:D))</f>
        <v>0.55983333333333329</v>
      </c>
      <c r="H20" cm="1">
        <f t="array" ref="H20">AVERAGE(IF((soil_percent_dry_weight!$C:$C=C20)*(soil_percent_dry_weight!$B:$B=B20),soil_percent_dry_weight!D:D))/100</f>
        <v>0.83022477879805334</v>
      </c>
      <c r="I20">
        <f t="shared" si="1"/>
        <v>0.4647875053304435</v>
      </c>
    </row>
    <row r="21" spans="1:9" x14ac:dyDescent="0.2">
      <c r="A21" s="1" t="s">
        <v>109</v>
      </c>
      <c r="B21" t="str" cm="1">
        <f t="array" ref="B21">_xlfn.IFS(
ISNUMBER(SEARCH("*AUHV*",A21)),"AUHV",
ISNUMBER(SEARCH("*MNHV*",A21)),"MNHV",
ISNUMBER(SEARCH("*BWW*",A21)),"BWW",
ISNUMBER(SEARCH("*SWW*",A21)),"SWW",
ISNUMBER(SEARCH("*ORG*",A21)),"ORG",
ISNUMBER(SEARCH("*PRY*",A21)),"PRY",
ISNUMBER(SEARCH("*RCL*",A21)),"RCL"
)</f>
        <v>PRY</v>
      </c>
      <c r="C21" t="str" cm="1">
        <f t="array" ref="C21">_xlfn.IFS(
ISNUMBER(SEARCH("IV*",A21)),"IV",
ISNUMBER(SEARCH("III*",A21)),"III",
ISNUMBER(SEARCH("II*",A21)),"II",
ISNUMBER(SEARCH("I*",A21)),"I")</f>
        <v>III</v>
      </c>
      <c r="D21">
        <v>110.4</v>
      </c>
      <c r="E21">
        <v>19.89</v>
      </c>
      <c r="F21">
        <f t="shared" si="0"/>
        <v>90.51</v>
      </c>
      <c r="G21" cm="1">
        <f t="array" ref="G21">AVERAGE(IF((Root_core!$C:$C=C21)*(Root_core!$B:$B=B21),Root_core!D:D))</f>
        <v>0.76886666666666681</v>
      </c>
      <c r="H21" cm="1">
        <f t="array" ref="H21">AVERAGE(IF((soil_percent_dry_weight!$C:$C=C21)*(soil_percent_dry_weight!$B:$B=B21),soil_percent_dry_weight!D:D))/100</f>
        <v>0.82932227602456354</v>
      </c>
      <c r="I21">
        <f t="shared" si="1"/>
        <v>0.63763825395941953</v>
      </c>
    </row>
    <row r="22" spans="1:9" x14ac:dyDescent="0.2">
      <c r="A22" s="1" t="s">
        <v>110</v>
      </c>
      <c r="B22" t="str" cm="1">
        <f t="array" ref="B22">_xlfn.IFS(
ISNUMBER(SEARCH("*AUHV*",A22)),"AUHV",
ISNUMBER(SEARCH("*MNHV*",A22)),"MNHV",
ISNUMBER(SEARCH("*BWW*",A22)),"BWW",
ISNUMBER(SEARCH("*SWW*",A22)),"SWW",
ISNUMBER(SEARCH("*ORG*",A22)),"ORG",
ISNUMBER(SEARCH("*PRY*",A22)),"PRY",
ISNUMBER(SEARCH("*RCL*",A22)),"RCL"
)</f>
        <v>RCL</v>
      </c>
      <c r="C22" t="str" cm="1">
        <f t="array" ref="C22">_xlfn.IFS(
ISNUMBER(SEARCH("IV*",A22)),"IV",
ISNUMBER(SEARCH("III*",A22)),"III",
ISNUMBER(SEARCH("II*",A22)),"II",
ISNUMBER(SEARCH("I*",A22)),"I")</f>
        <v>III</v>
      </c>
      <c r="D22">
        <v>67.58</v>
      </c>
      <c r="E22">
        <v>19.739999999999998</v>
      </c>
      <c r="F22">
        <f t="shared" si="0"/>
        <v>47.84</v>
      </c>
      <c r="G22" cm="1">
        <f t="array" ref="G22">AVERAGE(IF((Root_core!$C:$C=C22)*(Root_core!$B:$B=B22),Root_core!D:D))</f>
        <v>0.3034</v>
      </c>
      <c r="H22" cm="1">
        <f t="array" ref="H22">AVERAGE(IF((soil_percent_dry_weight!$C:$C=C22)*(soil_percent_dry_weight!$B:$B=B22),soil_percent_dry_weight!D:D))/100</f>
        <v>0.80967016533148328</v>
      </c>
      <c r="I22">
        <f t="shared" si="1"/>
        <v>0.24565392816157203</v>
      </c>
    </row>
    <row r="23" spans="1:9" x14ac:dyDescent="0.2">
      <c r="A23" s="1" t="s">
        <v>111</v>
      </c>
      <c r="B23" t="str" cm="1">
        <f t="array" ref="B23">_xlfn.IFS(
ISNUMBER(SEARCH("*AUHV*",A23)),"AUHV",
ISNUMBER(SEARCH("*MNHV*",A23)),"MNHV",
ISNUMBER(SEARCH("*BWW*",A23)),"BWW",
ISNUMBER(SEARCH("*SWW*",A23)),"SWW",
ISNUMBER(SEARCH("*ORG*",A23)),"ORG",
ISNUMBER(SEARCH("*PRY*",A23)),"PRY",
ISNUMBER(SEARCH("*RCL*",A23)),"RCL"
)</f>
        <v>AUHV</v>
      </c>
      <c r="C23" t="str" cm="1">
        <f t="array" ref="C23">_xlfn.IFS(
ISNUMBER(SEARCH("IV*",A23)),"IV",
ISNUMBER(SEARCH("III*",A23)),"III",
ISNUMBER(SEARCH("II*",A23)),"II",
ISNUMBER(SEARCH("I*",A23)),"I")</f>
        <v>IV</v>
      </c>
      <c r="D23">
        <v>31.01</v>
      </c>
      <c r="E23">
        <v>19.75</v>
      </c>
      <c r="F23">
        <f t="shared" si="0"/>
        <v>11.260000000000002</v>
      </c>
      <c r="G23" cm="1">
        <f t="array" ref="G23">AVERAGE(IF((Root_core!$C:$C=C23)*(Root_core!$B:$B=B23),Root_core!D:D))</f>
        <v>6.356666666666666E-2</v>
      </c>
      <c r="H23" cm="1">
        <f t="array" ref="H23">AVERAGE(IF((soil_percent_dry_weight!$C:$C=C23)*(soil_percent_dry_weight!$B:$B=B23),soil_percent_dry_weight!D:D))/100</f>
        <v>0.78717754172989385</v>
      </c>
      <c r="I23">
        <f t="shared" si="1"/>
        <v>5.0038252402630247E-2</v>
      </c>
    </row>
    <row r="24" spans="1:9" x14ac:dyDescent="0.2">
      <c r="A24" s="1" t="s">
        <v>112</v>
      </c>
      <c r="B24" t="str" cm="1">
        <f t="array" ref="B24">_xlfn.IFS(
ISNUMBER(SEARCH("*AUHV*",A24)),"AUHV",
ISNUMBER(SEARCH("*MNHV*",A24)),"MNHV",
ISNUMBER(SEARCH("*BWW*",A24)),"BWW",
ISNUMBER(SEARCH("*SWW*",A24)),"SWW",
ISNUMBER(SEARCH("*ORG*",A24)),"ORG",
ISNUMBER(SEARCH("*PRY*",A24)),"PRY",
ISNUMBER(SEARCH("*RCL*",A24)),"RCL"
)</f>
        <v>MNHV</v>
      </c>
      <c r="C24" t="str" cm="1">
        <f t="array" ref="C24">_xlfn.IFS(
ISNUMBER(SEARCH("IV*",A24)),"IV",
ISNUMBER(SEARCH("III*",A24)),"III",
ISNUMBER(SEARCH("II*",A24)),"II",
ISNUMBER(SEARCH("I*",A24)),"I")</f>
        <v>IV</v>
      </c>
      <c r="D24">
        <v>63.38</v>
      </c>
      <c r="E24">
        <v>19.989999999999998</v>
      </c>
      <c r="F24">
        <f t="shared" ref="F24:F29" si="2">D24-E24</f>
        <v>43.39</v>
      </c>
      <c r="G24" cm="1">
        <f t="array" ref="G24">AVERAGE(IF((Root_core!$C:$C=C24)*(Root_core!$B:$B=B24),Root_core!D:D))</f>
        <v>9.3100000000000002E-2</v>
      </c>
      <c r="H24" cm="1">
        <f t="array" ref="H24">AVERAGE(IF((soil_percent_dry_weight!$C:$C=C24)*(soil_percent_dry_weight!$B:$B=B24),soil_percent_dry_weight!D:D))/100</f>
        <v>0.82487006570756849</v>
      </c>
      <c r="I24">
        <f t="shared" si="1"/>
        <v>7.6795403117374622E-2</v>
      </c>
    </row>
    <row r="25" spans="1:9" x14ac:dyDescent="0.2">
      <c r="A25" s="1" t="s">
        <v>113</v>
      </c>
      <c r="B25" t="str" cm="1">
        <f t="array" ref="B25">_xlfn.IFS(
ISNUMBER(SEARCH("*AUHV*",A25)),"AUHV",
ISNUMBER(SEARCH("*MNHV*",A25)),"MNHV",
ISNUMBER(SEARCH("*BWW*",A25)),"BWW",
ISNUMBER(SEARCH("*SWW*",A25)),"SWW",
ISNUMBER(SEARCH("*ORG*",A25)),"ORG",
ISNUMBER(SEARCH("*PRY*",A25)),"PRY",
ISNUMBER(SEARCH("*RCL*",A25)),"RCL"
)</f>
        <v>BWW</v>
      </c>
      <c r="C25" t="str" cm="1">
        <f t="array" ref="C25">_xlfn.IFS(
ISNUMBER(SEARCH("IV*",A25)),"IV",
ISNUMBER(SEARCH("III*",A25)),"III",
ISNUMBER(SEARCH("II*",A25)),"II",
ISNUMBER(SEARCH("I*",A25)),"I")</f>
        <v>IV</v>
      </c>
      <c r="D25">
        <v>72.489999999999995</v>
      </c>
      <c r="E25">
        <v>19.79</v>
      </c>
      <c r="F25">
        <f t="shared" si="2"/>
        <v>52.699999999999996</v>
      </c>
      <c r="G25" cm="1">
        <f t="array" ref="G25">AVERAGE(IF((Root_core!$C:$C=C25)*(Root_core!$B:$B=B25),Root_core!D:D))</f>
        <v>7.1799999999999989E-2</v>
      </c>
      <c r="H25" cm="1">
        <f t="array" ref="H25">AVERAGE(IF((soil_percent_dry_weight!$C:$C=C25)*(soil_percent_dry_weight!$B:$B=B25),soil_percent_dry_weight!D:D))/100</f>
        <v>0.79825684397869034</v>
      </c>
      <c r="I25">
        <f t="shared" si="1"/>
        <v>5.7314841397669958E-2</v>
      </c>
    </row>
    <row r="26" spans="1:9" x14ac:dyDescent="0.2">
      <c r="A26" s="1" t="s">
        <v>114</v>
      </c>
      <c r="B26" t="str" cm="1">
        <f t="array" ref="B26">_xlfn.IFS(
ISNUMBER(SEARCH("*AUHV*",A26)),"AUHV",
ISNUMBER(SEARCH("*MNHV*",A26)),"MNHV",
ISNUMBER(SEARCH("*BWW*",A26)),"BWW",
ISNUMBER(SEARCH("*SWW*",A26)),"SWW",
ISNUMBER(SEARCH("*ORG*",A26)),"ORG",
ISNUMBER(SEARCH("*PRY*",A26)),"PRY",
ISNUMBER(SEARCH("*RCL*",A26)),"RCL"
)</f>
        <v>SWW</v>
      </c>
      <c r="C26" t="str" cm="1">
        <f t="array" ref="C26">_xlfn.IFS(
ISNUMBER(SEARCH("IV*",A26)),"IV",
ISNUMBER(SEARCH("III*",A26)),"III",
ISNUMBER(SEARCH("II*",A26)),"II",
ISNUMBER(SEARCH("I*",A26)),"I")</f>
        <v>IV</v>
      </c>
      <c r="D26">
        <v>33.18</v>
      </c>
      <c r="E26">
        <v>19.87</v>
      </c>
      <c r="F26">
        <f t="shared" si="2"/>
        <v>13.309999999999999</v>
      </c>
      <c r="G26" cm="1">
        <f t="array" ref="G26">AVERAGE(IF((Root_core!$C:$C=C26)*(Root_core!$B:$B=B26),Root_core!D:D))</f>
        <v>3.3700000000000001E-2</v>
      </c>
      <c r="H26" cm="1">
        <f t="array" ref="H26">AVERAGE(IF((soil_percent_dry_weight!$C:$C=C26)*(soil_percent_dry_weight!$B:$B=B26),soil_percent_dry_weight!D:D))/100</f>
        <v>0.80607913856998703</v>
      </c>
      <c r="I26">
        <f t="shared" si="1"/>
        <v>2.7164866969808563E-2</v>
      </c>
    </row>
    <row r="27" spans="1:9" x14ac:dyDescent="0.2">
      <c r="A27" s="1" t="s">
        <v>115</v>
      </c>
      <c r="B27" t="str" cm="1">
        <f t="array" ref="B27">_xlfn.IFS(
ISNUMBER(SEARCH("*AUHV*",A27)),"AUHV",
ISNUMBER(SEARCH("*MNHV*",A27)),"MNHV",
ISNUMBER(SEARCH("*BWW*",A27)),"BWW",
ISNUMBER(SEARCH("*SWW*",A27)),"SWW",
ISNUMBER(SEARCH("*ORG*",A27)),"ORG",
ISNUMBER(SEARCH("*PRY*",A27)),"PRY",
ISNUMBER(SEARCH("*RCL*",A27)),"RCL"
)</f>
        <v>ORG</v>
      </c>
      <c r="C27" t="str" cm="1">
        <f t="array" ref="C27">_xlfn.IFS(
ISNUMBER(SEARCH("IV*",A27)),"IV",
ISNUMBER(SEARCH("III*",A27)),"III",
ISNUMBER(SEARCH("II*",A27)),"II",
ISNUMBER(SEARCH("I*",A27)),"I")</f>
        <v>IV</v>
      </c>
      <c r="D27">
        <v>98.28</v>
      </c>
      <c r="E27">
        <f>19.84+19.71</f>
        <v>39.549999999999997</v>
      </c>
      <c r="F27">
        <f t="shared" si="2"/>
        <v>58.730000000000004</v>
      </c>
      <c r="G27" cm="1">
        <f t="array" ref="G27">AVERAGE(IF((Root_core!$C:$C=C27)*(Root_core!$B:$B=B27),Root_core!D:D))</f>
        <v>0.55943333333333334</v>
      </c>
      <c r="H27" cm="1">
        <f t="array" ref="H27">AVERAGE(IF((soil_percent_dry_weight!$C:$C=C27)*(soil_percent_dry_weight!$B:$B=B27),soil_percent_dry_weight!D:D))/100</f>
        <v>0.80414611372574907</v>
      </c>
      <c r="I27">
        <f t="shared" si="1"/>
        <v>0.44986614088864157</v>
      </c>
    </row>
    <row r="28" spans="1:9" x14ac:dyDescent="0.2">
      <c r="A28" s="1" t="s">
        <v>116</v>
      </c>
      <c r="B28" t="str" cm="1">
        <f t="array" ref="B28">_xlfn.IFS(
ISNUMBER(SEARCH("*AUHV*",A28)),"AUHV",
ISNUMBER(SEARCH("*MNHV*",A28)),"MNHV",
ISNUMBER(SEARCH("*BWW*",A28)),"BWW",
ISNUMBER(SEARCH("*SWW*",A28)),"SWW",
ISNUMBER(SEARCH("*ORG*",A28)),"ORG",
ISNUMBER(SEARCH("*PRY*",A28)),"PRY",
ISNUMBER(SEARCH("*RCL*",A28)),"RCL"
)</f>
        <v>PRY</v>
      </c>
      <c r="C28" t="str" cm="1">
        <f t="array" ref="C28">_xlfn.IFS(
ISNUMBER(SEARCH("IV*",A28)),"IV",
ISNUMBER(SEARCH("III*",A28)),"III",
ISNUMBER(SEARCH("II*",A28)),"II",
ISNUMBER(SEARCH("I*",A28)),"I")</f>
        <v>IV</v>
      </c>
      <c r="D28">
        <v>82.11</v>
      </c>
      <c r="E28">
        <v>19.77</v>
      </c>
      <c r="F28">
        <f t="shared" si="2"/>
        <v>62.34</v>
      </c>
      <c r="G28" cm="1">
        <f t="array" ref="G28">AVERAGE(IF((Root_core!$C:$C=C28)*(Root_core!$B:$B=B28),Root_core!D:D))</f>
        <v>0.57816666666666661</v>
      </c>
      <c r="H28" cm="1">
        <f t="array" ref="H28">AVERAGE(IF((soil_percent_dry_weight!$C:$C=C28)*(soil_percent_dry_weight!$B:$B=B28),soil_percent_dry_weight!D:D))/100</f>
        <v>0.80504464680044663</v>
      </c>
      <c r="I28">
        <f t="shared" si="1"/>
        <v>0.46544997995845816</v>
      </c>
    </row>
    <row r="29" spans="1:9" x14ac:dyDescent="0.2">
      <c r="A29" s="1" t="s">
        <v>117</v>
      </c>
      <c r="B29" t="str" cm="1">
        <f t="array" ref="B29">_xlfn.IFS(
ISNUMBER(SEARCH("*AUHV*",A29)),"AUHV",
ISNUMBER(SEARCH("*MNHV*",A29)),"MNHV",
ISNUMBER(SEARCH("*BWW*",A29)),"BWW",
ISNUMBER(SEARCH("*SWW*",A29)),"SWW",
ISNUMBER(SEARCH("*ORG*",A29)),"ORG",
ISNUMBER(SEARCH("*PRY*",A29)),"PRY",
ISNUMBER(SEARCH("*RCL*",A29)),"RCL"
)</f>
        <v>RCL</v>
      </c>
      <c r="C29" t="str" cm="1">
        <f t="array" ref="C29">_xlfn.IFS(
ISNUMBER(SEARCH("IV*",A29)),"IV",
ISNUMBER(SEARCH("III*",A29)),"III",
ISNUMBER(SEARCH("II*",A29)),"II",
ISNUMBER(SEARCH("I*",A29)),"I")</f>
        <v>IV</v>
      </c>
      <c r="D29">
        <v>58.17</v>
      </c>
      <c r="E29">
        <v>19.84</v>
      </c>
      <c r="F29">
        <f t="shared" si="2"/>
        <v>38.33</v>
      </c>
      <c r="G29" cm="1">
        <f t="array" ref="G29">AVERAGE(IF((Root_core!$C:$C=C29)*(Root_core!$B:$B=B29),Root_core!D:D))</f>
        <v>0.28753333333333336</v>
      </c>
      <c r="H29" cm="1">
        <f t="array" ref="H29">AVERAGE(IF((soil_percent_dry_weight!$C:$C=C29)*(soil_percent_dry_weight!$B:$B=B29),soil_percent_dry_weight!D:D))/100</f>
        <v>0.81828370374395476</v>
      </c>
      <c r="I29">
        <f t="shared" si="1"/>
        <v>0.23528384094984514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0435-4601-B649-AB94-57C5256C684F}">
  <dimension ref="A1:D57"/>
  <sheetViews>
    <sheetView workbookViewId="0">
      <selection activeCell="D2" sqref="D2"/>
    </sheetView>
  </sheetViews>
  <sheetFormatPr baseColWidth="10" defaultRowHeight="16" x14ac:dyDescent="0.2"/>
  <cols>
    <col min="1" max="3" width="13.5" customWidth="1"/>
  </cols>
  <sheetData>
    <row r="1" spans="1:4" x14ac:dyDescent="0.2">
      <c r="A1" t="s">
        <v>0</v>
      </c>
      <c r="B1" t="s">
        <v>120</v>
      </c>
      <c r="C1" t="s">
        <v>121</v>
      </c>
      <c r="D1" t="s">
        <v>180</v>
      </c>
    </row>
    <row r="2" spans="1:4" x14ac:dyDescent="0.2">
      <c r="A2" t="s">
        <v>124</v>
      </c>
      <c r="B2" t="str" cm="1">
        <f t="array" ref="B2">_xlfn.IFS(
ISNUMBER(SEARCH("*AUHV*",A3)),"AUHV",
ISNUMBER(SEARCH("*MNHV*",A3)),"MNHV",
ISNUMBER(SEARCH("*BWW*",A3)),"BWW",
ISNUMBER(SEARCH("*SWW*",A3)),"SWW",
ISNUMBER(SEARCH("*ORG*",A3)),"ORG",
ISNUMBER(SEARCH("*PRY*",A3)),"PRY",
ISNUMBER(SEARCH("*RCL*",A3)),"RCL"
)</f>
        <v>AUHV</v>
      </c>
      <c r="C2" t="str" cm="1">
        <f t="array" ref="C2">_xlfn.IFS(
ISNUMBER(SEARCH("IV*",A2)),"IV",
ISNUMBER(SEARCH("III*",A2)),"III",
ISNUMBER(SEARCH("II*",A2)),"II",
ISNUMBER(SEARCH("I*",A2)),"I")</f>
        <v>III</v>
      </c>
      <c r="D2">
        <v>83.299471759447385</v>
      </c>
    </row>
    <row r="3" spans="1:4" x14ac:dyDescent="0.2">
      <c r="A3" t="s">
        <v>125</v>
      </c>
      <c r="B3" t="str" cm="1">
        <f t="array" ref="B3">_xlfn.IFS(
ISNUMBER(SEARCH("*AUHV*",A4)),"AUHV",
ISNUMBER(SEARCH("*MNHV*",A4)),"MNHV",
ISNUMBER(SEARCH("*BWW*",A4)),"BWW",
ISNUMBER(SEARCH("*SWW*",A4)),"SWW",
ISNUMBER(SEARCH("*ORG*",A4)),"ORG",
ISNUMBER(SEARCH("*PRY*",A4)),"PRY",
ISNUMBER(SEARCH("*RCL*",A4)),"RCL"
)</f>
        <v>BWW</v>
      </c>
      <c r="C3" t="str" cm="1">
        <f t="array" ref="C3">_xlfn.IFS(
ISNUMBER(SEARCH("IV*",A3)),"IV",
ISNUMBER(SEARCH("III*",A3)),"III",
ISNUMBER(SEARCH("II*",A3)),"II",
ISNUMBER(SEARCH("I*",A3)),"I")</f>
        <v>III</v>
      </c>
      <c r="D3">
        <v>83.006244424620874</v>
      </c>
    </row>
    <row r="4" spans="1:4" x14ac:dyDescent="0.2">
      <c r="A4" t="s">
        <v>126</v>
      </c>
      <c r="B4" t="str" cm="1">
        <f t="array" ref="B4">_xlfn.IFS(
ISNUMBER(SEARCH("*AUHV*",A5)),"AUHV",
ISNUMBER(SEARCH("*MNHV*",A5)),"MNHV",
ISNUMBER(SEARCH("*BWW*",A5)),"BWW",
ISNUMBER(SEARCH("*SWW*",A5)),"SWW",
ISNUMBER(SEARCH("*ORG*",A5)),"ORG",
ISNUMBER(SEARCH("*PRY*",A5)),"PRY",
ISNUMBER(SEARCH("*RCL*",A5)),"RCL"
)</f>
        <v>BWW</v>
      </c>
      <c r="C4" t="str" cm="1">
        <f t="array" ref="C4">_xlfn.IFS(
ISNUMBER(SEARCH("IV*",A4)),"IV",
ISNUMBER(SEARCH("III*",A4)),"III",
ISNUMBER(SEARCH("II*",A4)),"II",
ISNUMBER(SEARCH("I*",A4)),"I")</f>
        <v>III</v>
      </c>
      <c r="D4">
        <v>78.241308793456028</v>
      </c>
    </row>
    <row r="5" spans="1:4" x14ac:dyDescent="0.2">
      <c r="A5" t="s">
        <v>127</v>
      </c>
      <c r="B5" t="str" cm="1">
        <f t="array" ref="B5">_xlfn.IFS(
ISNUMBER(SEARCH("*AUHV*",A6)),"AUHV",
ISNUMBER(SEARCH("*MNHV*",A6)),"MNHV",
ISNUMBER(SEARCH("*BWW*",A6)),"BWW",
ISNUMBER(SEARCH("*SWW*",A6)),"SWW",
ISNUMBER(SEARCH("*ORG*",A6)),"ORG",
ISNUMBER(SEARCH("*PRY*",A6)),"PRY",
ISNUMBER(SEARCH("*RCL*",A6)),"RCL"
)</f>
        <v>MNHV</v>
      </c>
      <c r="C5" t="str" cm="1">
        <f t="array" ref="C5">_xlfn.IFS(
ISNUMBER(SEARCH("IV*",A5)),"IV",
ISNUMBER(SEARCH("III*",A5)),"III",
ISNUMBER(SEARCH("II*",A5)),"II",
ISNUMBER(SEARCH("I*",A5)),"I")</f>
        <v>III</v>
      </c>
      <c r="D5">
        <v>80.840918942349376</v>
      </c>
    </row>
    <row r="6" spans="1:4" x14ac:dyDescent="0.2">
      <c r="A6" t="s">
        <v>128</v>
      </c>
      <c r="B6" t="str" cm="1">
        <f t="array" ref="B6">_xlfn.IFS(
ISNUMBER(SEARCH("*AUHV*",A7)),"AUHV",
ISNUMBER(SEARCH("*MNHV*",A7)),"MNHV",
ISNUMBER(SEARCH("*BWW*",A7)),"BWW",
ISNUMBER(SEARCH("*SWW*",A7)),"SWW",
ISNUMBER(SEARCH("*ORG*",A7)),"ORG",
ISNUMBER(SEARCH("*PRY*",A7)),"PRY",
ISNUMBER(SEARCH("*RCL*",A7)),"RCL"
)</f>
        <v>MNHV</v>
      </c>
      <c r="C6" t="str" cm="1">
        <f t="array" ref="C6">_xlfn.IFS(
ISNUMBER(SEARCH("IV*",A6)),"IV",
ISNUMBER(SEARCH("III*",A6)),"III",
ISNUMBER(SEARCH("II*",A6)),"II",
ISNUMBER(SEARCH("I*",A6)),"I")</f>
        <v>III</v>
      </c>
      <c r="D6">
        <v>81.590119644924741</v>
      </c>
    </row>
    <row r="7" spans="1:4" x14ac:dyDescent="0.2">
      <c r="A7" t="s">
        <v>129</v>
      </c>
      <c r="B7" t="str" cm="1">
        <f t="array" ref="B7">_xlfn.IFS(
ISNUMBER(SEARCH("*AUHV*",A8)),"AUHV",
ISNUMBER(SEARCH("*MNHV*",A8)),"MNHV",
ISNUMBER(SEARCH("*BWW*",A8)),"BWW",
ISNUMBER(SEARCH("*SWW*",A8)),"SWW",
ISNUMBER(SEARCH("*ORG*",A8)),"ORG",
ISNUMBER(SEARCH("*PRY*",A8)),"PRY",
ISNUMBER(SEARCH("*RCL*",A8)),"RCL"
)</f>
        <v>ORG</v>
      </c>
      <c r="C7" t="str" cm="1">
        <f t="array" ref="C7">_xlfn.IFS(
ISNUMBER(SEARCH("IV*",A7)),"IV",
ISNUMBER(SEARCH("III*",A7)),"III",
ISNUMBER(SEARCH("II*",A7)),"II",
ISNUMBER(SEARCH("I*",A7)),"I")</f>
        <v>III</v>
      </c>
      <c r="D7">
        <v>82.868183769858305</v>
      </c>
    </row>
    <row r="8" spans="1:4" x14ac:dyDescent="0.2">
      <c r="A8" t="s">
        <v>130</v>
      </c>
      <c r="B8" t="str" cm="1">
        <f t="array" ref="B8">_xlfn.IFS(
ISNUMBER(SEARCH("*AUHV*",A9)),"AUHV",
ISNUMBER(SEARCH("*MNHV*",A9)),"MNHV",
ISNUMBER(SEARCH("*BWW*",A9)),"BWW",
ISNUMBER(SEARCH("*SWW*",A9)),"SWW",
ISNUMBER(SEARCH("*ORG*",A9)),"ORG",
ISNUMBER(SEARCH("*PRY*",A9)),"PRY",
ISNUMBER(SEARCH("*RCL*",A9)),"RCL"
)</f>
        <v>ORG</v>
      </c>
      <c r="C8" t="str" cm="1">
        <f t="array" ref="C8">_xlfn.IFS(
ISNUMBER(SEARCH("IV*",A8)),"IV",
ISNUMBER(SEARCH("III*",A8)),"III",
ISNUMBER(SEARCH("II*",A8)),"II",
ISNUMBER(SEARCH("I*",A8)),"I")</f>
        <v>III</v>
      </c>
      <c r="D8">
        <v>83.176771989752353</v>
      </c>
    </row>
    <row r="9" spans="1:4" x14ac:dyDescent="0.2">
      <c r="A9" t="s">
        <v>131</v>
      </c>
      <c r="B9" t="str" cm="1">
        <f t="array" ref="B9">_xlfn.IFS(
ISNUMBER(SEARCH("*AUHV*",A10)),"AUHV",
ISNUMBER(SEARCH("*MNHV*",A10)),"MNHV",
ISNUMBER(SEARCH("*BWW*",A10)),"BWW",
ISNUMBER(SEARCH("*SWW*",A10)),"SWW",
ISNUMBER(SEARCH("*ORG*",A10)),"ORG",
ISNUMBER(SEARCH("*PRY*",A10)),"PRY",
ISNUMBER(SEARCH("*RCL*",A10)),"RCL"
)</f>
        <v>PRY</v>
      </c>
      <c r="C9" t="str" cm="1">
        <f t="array" ref="C9">_xlfn.IFS(
ISNUMBER(SEARCH("IV*",A9)),"IV",
ISNUMBER(SEARCH("III*",A9)),"III",
ISNUMBER(SEARCH("II*",A9)),"II",
ISNUMBER(SEARCH("I*",A9)),"I")</f>
        <v>III</v>
      </c>
      <c r="D9">
        <v>83.893805309734503</v>
      </c>
    </row>
    <row r="10" spans="1:4" x14ac:dyDescent="0.2">
      <c r="A10" t="s">
        <v>132</v>
      </c>
      <c r="B10" t="str" cm="1">
        <f t="array" ref="B10">_xlfn.IFS(
ISNUMBER(SEARCH("*AUHV*",A11)),"AUHV",
ISNUMBER(SEARCH("*MNHV*",A11)),"MNHV",
ISNUMBER(SEARCH("*BWW*",A11)),"BWW",
ISNUMBER(SEARCH("*SWW*",A11)),"SWW",
ISNUMBER(SEARCH("*ORG*",A11)),"ORG",
ISNUMBER(SEARCH("*PRY*",A11)),"PRY",
ISNUMBER(SEARCH("*RCL*",A11)),"RCL"
)</f>
        <v>PRY</v>
      </c>
      <c r="C10" t="str" cm="1">
        <f t="array" ref="C10">_xlfn.IFS(
ISNUMBER(SEARCH("IV*",A10)),"IV",
ISNUMBER(SEARCH("III*",A10)),"III",
ISNUMBER(SEARCH("II*",A10)),"II",
ISNUMBER(SEARCH("I*",A10)),"I")</f>
        <v>III</v>
      </c>
      <c r="D10">
        <v>81.970649895178198</v>
      </c>
    </row>
    <row r="11" spans="1:4" x14ac:dyDescent="0.2">
      <c r="A11" t="s">
        <v>133</v>
      </c>
      <c r="B11" t="str" cm="1">
        <f t="array" ref="B11">_xlfn.IFS(
ISNUMBER(SEARCH("*AUHV*",A12)),"AUHV",
ISNUMBER(SEARCH("*MNHV*",A12)),"MNHV",
ISNUMBER(SEARCH("*BWW*",A12)),"BWW",
ISNUMBER(SEARCH("*SWW*",A12)),"SWW",
ISNUMBER(SEARCH("*ORG*",A12)),"ORG",
ISNUMBER(SEARCH("*PRY*",A12)),"PRY",
ISNUMBER(SEARCH("*RCL*",A12)),"RCL"
)</f>
        <v>RCL</v>
      </c>
      <c r="C11" t="str" cm="1">
        <f t="array" ref="C11">_xlfn.IFS(
ISNUMBER(SEARCH("IV*",A11)),"IV",
ISNUMBER(SEARCH("III*",A11)),"III",
ISNUMBER(SEARCH("II*",A11)),"II",
ISNUMBER(SEARCH("I*",A11)),"I")</f>
        <v>III</v>
      </c>
      <c r="D11">
        <v>82.144401210549063</v>
      </c>
    </row>
    <row r="12" spans="1:4" x14ac:dyDescent="0.2">
      <c r="A12" t="s">
        <v>134</v>
      </c>
      <c r="B12" t="str" cm="1">
        <f t="array" ref="B12">_xlfn.IFS(
ISNUMBER(SEARCH("*AUHV*",A13)),"AUHV",
ISNUMBER(SEARCH("*MNHV*",A13)),"MNHV",
ISNUMBER(SEARCH("*BWW*",A13)),"BWW",
ISNUMBER(SEARCH("*SWW*",A13)),"SWW",
ISNUMBER(SEARCH("*ORG*",A13)),"ORG",
ISNUMBER(SEARCH("*PRY*",A13)),"PRY",
ISNUMBER(SEARCH("*RCL*",A13)),"RCL"
)</f>
        <v>RCL</v>
      </c>
      <c r="C12" t="str" cm="1">
        <f t="array" ref="C12">_xlfn.IFS(
ISNUMBER(SEARCH("IV*",A12)),"IV",
ISNUMBER(SEARCH("III*",A12)),"III",
ISNUMBER(SEARCH("II*",A12)),"II",
ISNUMBER(SEARCH("I*",A12)),"I")</f>
        <v>III</v>
      </c>
      <c r="D12">
        <v>79.789631855747572</v>
      </c>
    </row>
    <row r="13" spans="1:4" x14ac:dyDescent="0.2">
      <c r="A13" t="s">
        <v>135</v>
      </c>
      <c r="B13" t="str" cm="1">
        <f t="array" ref="B13">_xlfn.IFS(
ISNUMBER(SEARCH("*AUHV*",A14)),"AUHV",
ISNUMBER(SEARCH("*MNHV*",A14)),"MNHV",
ISNUMBER(SEARCH("*BWW*",A14)),"BWW",
ISNUMBER(SEARCH("*SWW*",A14)),"SWW",
ISNUMBER(SEARCH("*ORG*",A14)),"ORG",
ISNUMBER(SEARCH("*PRY*",A14)),"PRY",
ISNUMBER(SEARCH("*RCL*",A14)),"RCL"
)</f>
        <v>SWW</v>
      </c>
      <c r="C13" t="str" cm="1">
        <f t="array" ref="C13">_xlfn.IFS(
ISNUMBER(SEARCH("IV*",A13)),"IV",
ISNUMBER(SEARCH("III*",A13)),"III",
ISNUMBER(SEARCH("II*",A13)),"II",
ISNUMBER(SEARCH("I*",A13)),"I")</f>
        <v>III</v>
      </c>
      <c r="D13">
        <v>79.4598706732598</v>
      </c>
    </row>
    <row r="14" spans="1:4" x14ac:dyDescent="0.2">
      <c r="A14" t="s">
        <v>136</v>
      </c>
      <c r="B14" t="str" cm="1">
        <f t="array" ref="B14">_xlfn.IFS(
ISNUMBER(SEARCH("*AUHV*",A15)),"AUHV",
ISNUMBER(SEARCH("*MNHV*",A15)),"MNHV",
ISNUMBER(SEARCH("*BWW*",A15)),"BWW",
ISNUMBER(SEARCH("*SWW*",A15)),"SWW",
ISNUMBER(SEARCH("*ORG*",A15)),"ORG",
ISNUMBER(SEARCH("*PRY*",A15)),"PRY",
ISNUMBER(SEARCH("*RCL*",A15)),"RCL"
)</f>
        <v>SWW</v>
      </c>
      <c r="C14" t="str" cm="1">
        <f t="array" ref="C14">_xlfn.IFS(
ISNUMBER(SEARCH("IV*",A14)),"IV",
ISNUMBER(SEARCH("III*",A14)),"III",
ISNUMBER(SEARCH("II*",A14)),"II",
ISNUMBER(SEARCH("I*",A14)),"I")</f>
        <v>III</v>
      </c>
      <c r="D14">
        <v>80.39045553145337</v>
      </c>
    </row>
    <row r="15" spans="1:4" x14ac:dyDescent="0.2">
      <c r="A15" t="s">
        <v>137</v>
      </c>
      <c r="B15" t="str" cm="1">
        <f t="array" ref="B15">_xlfn.IFS(
ISNUMBER(SEARCH("*AUHV*",A16)),"AUHV",
ISNUMBER(SEARCH("*MNHV*",A16)),"MNHV",
ISNUMBER(SEARCH("*BWW*",A16)),"BWW",
ISNUMBER(SEARCH("*SWW*",A16)),"SWW",
ISNUMBER(SEARCH("*ORG*",A16)),"ORG",
ISNUMBER(SEARCH("*PRY*",A16)),"PRY",
ISNUMBER(SEARCH("*RCL*",A16)),"RCL"
)</f>
        <v>AUHV</v>
      </c>
      <c r="C15" t="str" cm="1">
        <f t="array" ref="C15">_xlfn.IFS(
ISNUMBER(SEARCH("IV*",A15)),"IV",
ISNUMBER(SEARCH("III*",A15)),"III",
ISNUMBER(SEARCH("II*",A15)),"II",
ISNUMBER(SEARCH("I*",A15)),"I")</f>
        <v>III</v>
      </c>
      <c r="D15">
        <v>78.484721640853934</v>
      </c>
    </row>
    <row r="16" spans="1:4" x14ac:dyDescent="0.2">
      <c r="A16" t="s">
        <v>138</v>
      </c>
      <c r="B16" t="str" cm="1">
        <f t="array" ref="B16">_xlfn.IFS(
ISNUMBER(SEARCH("*AUHV*",A17)),"AUHV",
ISNUMBER(SEARCH("*MNHV*",A17)),"MNHV",
ISNUMBER(SEARCH("*BWW*",A17)),"BWW",
ISNUMBER(SEARCH("*SWW*",A17)),"SWW",
ISNUMBER(SEARCH("*ORG*",A17)),"ORG",
ISNUMBER(SEARCH("*PRY*",A17)),"PRY",
ISNUMBER(SEARCH("*RCL*",A17)),"RCL"
)</f>
        <v>AUHV</v>
      </c>
      <c r="C16" t="str" cm="1">
        <f t="array" ref="C16">_xlfn.IFS(
ISNUMBER(SEARCH("IV*",A16)),"IV",
ISNUMBER(SEARCH("III*",A16)),"III",
ISNUMBER(SEARCH("II*",A16)),"II",
ISNUMBER(SEARCH("I*",A16)),"I")</f>
        <v>I</v>
      </c>
      <c r="D16">
        <v>87.443744374437443</v>
      </c>
    </row>
    <row r="17" spans="1:4" x14ac:dyDescent="0.2">
      <c r="A17" t="s">
        <v>139</v>
      </c>
      <c r="B17" t="str" cm="1">
        <f t="array" ref="B17">_xlfn.IFS(
ISNUMBER(SEARCH("*AUHV*",A18)),"AUHV",
ISNUMBER(SEARCH("*MNHV*",A18)),"MNHV",
ISNUMBER(SEARCH("*BWW*",A18)),"BWW",
ISNUMBER(SEARCH("*SWW*",A18)),"SWW",
ISNUMBER(SEARCH("*ORG*",A18)),"ORG",
ISNUMBER(SEARCH("*PRY*",A18)),"PRY",
ISNUMBER(SEARCH("*RCL*",A18)),"RCL"
)</f>
        <v>BWW</v>
      </c>
      <c r="C17" t="str" cm="1">
        <f t="array" ref="C17">_xlfn.IFS(
ISNUMBER(SEARCH("IV*",A17)),"IV",
ISNUMBER(SEARCH("III*",A17)),"III",
ISNUMBER(SEARCH("II*",A17)),"II",
ISNUMBER(SEARCH("I*",A17)),"I")</f>
        <v>I</v>
      </c>
      <c r="D17">
        <v>87.656033287101238</v>
      </c>
    </row>
    <row r="18" spans="1:4" x14ac:dyDescent="0.2">
      <c r="A18" t="s">
        <v>140</v>
      </c>
      <c r="B18" t="str" cm="1">
        <f t="array" ref="B18">_xlfn.IFS(
ISNUMBER(SEARCH("*AUHV*",A19)),"AUHV",
ISNUMBER(SEARCH("*MNHV*",A19)),"MNHV",
ISNUMBER(SEARCH("*BWW*",A19)),"BWW",
ISNUMBER(SEARCH("*SWW*",A19)),"SWW",
ISNUMBER(SEARCH("*ORG*",A19)),"ORG",
ISNUMBER(SEARCH("*PRY*",A19)),"PRY",
ISNUMBER(SEARCH("*RCL*",A19)),"RCL"
)</f>
        <v>BWW</v>
      </c>
      <c r="C18" t="str" cm="1">
        <f t="array" ref="C18">_xlfn.IFS(
ISNUMBER(SEARCH("IV*",A18)),"IV",
ISNUMBER(SEARCH("III*",A18)),"III",
ISNUMBER(SEARCH("II*",A18)),"II",
ISNUMBER(SEARCH("I*",A18)),"I")</f>
        <v>I</v>
      </c>
      <c r="D18">
        <v>84.003421727972622</v>
      </c>
    </row>
    <row r="19" spans="1:4" x14ac:dyDescent="0.2">
      <c r="A19" t="s">
        <v>141</v>
      </c>
      <c r="B19" t="str" cm="1">
        <f t="array" ref="B19">_xlfn.IFS(
ISNUMBER(SEARCH("*AUHV*",A20)),"AUHV",
ISNUMBER(SEARCH("*MNHV*",A20)),"MNHV",
ISNUMBER(SEARCH("*BWW*",A20)),"BWW",
ISNUMBER(SEARCH("*SWW*",A20)),"SWW",
ISNUMBER(SEARCH("*ORG*",A20)),"ORG",
ISNUMBER(SEARCH("*PRY*",A20)),"PRY",
ISNUMBER(SEARCH("*RCL*",A20)),"RCL"
)</f>
        <v>MNHV</v>
      </c>
      <c r="C19" t="str" cm="1">
        <f t="array" ref="C19">_xlfn.IFS(
ISNUMBER(SEARCH("IV*",A19)),"IV",
ISNUMBER(SEARCH("III*",A19)),"III",
ISNUMBER(SEARCH("II*",A19)),"II",
ISNUMBER(SEARCH("I*",A19)),"I")</f>
        <v>I</v>
      </c>
      <c r="D19">
        <v>84.354045596781404</v>
      </c>
    </row>
    <row r="20" spans="1:4" x14ac:dyDescent="0.2">
      <c r="A20" t="s">
        <v>142</v>
      </c>
      <c r="B20" t="str" cm="1">
        <f t="array" ref="B20">_xlfn.IFS(
ISNUMBER(SEARCH("*AUHV*",A21)),"AUHV",
ISNUMBER(SEARCH("*MNHV*",A21)),"MNHV",
ISNUMBER(SEARCH("*BWW*",A21)),"BWW",
ISNUMBER(SEARCH("*SWW*",A21)),"SWW",
ISNUMBER(SEARCH("*ORG*",A21)),"ORG",
ISNUMBER(SEARCH("*PRY*",A21)),"PRY",
ISNUMBER(SEARCH("*RCL*",A21)),"RCL"
)</f>
        <v>MNHV</v>
      </c>
      <c r="C20" t="str" cm="1">
        <f t="array" ref="C20">_xlfn.IFS(
ISNUMBER(SEARCH("IV*",A20)),"IV",
ISNUMBER(SEARCH("III*",A20)),"III",
ISNUMBER(SEARCH("II*",A20)),"II",
ISNUMBER(SEARCH("I*",A20)),"I")</f>
        <v>I</v>
      </c>
      <c r="D20">
        <v>84.311328443357795</v>
      </c>
    </row>
    <row r="21" spans="1:4" x14ac:dyDescent="0.2">
      <c r="A21" t="s">
        <v>143</v>
      </c>
      <c r="B21" t="str" cm="1">
        <f t="array" ref="B21">_xlfn.IFS(
ISNUMBER(SEARCH("*AUHV*",A22)),"AUHV",
ISNUMBER(SEARCH("*MNHV*",A22)),"MNHV",
ISNUMBER(SEARCH("*BWW*",A22)),"BWW",
ISNUMBER(SEARCH("*SWW*",A22)),"SWW",
ISNUMBER(SEARCH("*ORG*",A22)),"ORG",
ISNUMBER(SEARCH("*PRY*",A22)),"PRY",
ISNUMBER(SEARCH("*RCL*",A22)),"RCL"
)</f>
        <v>ORG</v>
      </c>
      <c r="C21" t="str" cm="1">
        <f t="array" ref="C21">_xlfn.IFS(
ISNUMBER(SEARCH("IV*",A21)),"IV",
ISNUMBER(SEARCH("III*",A21)),"III",
ISNUMBER(SEARCH("II*",A21)),"II",
ISNUMBER(SEARCH("I*",A21)),"I")</f>
        <v>I</v>
      </c>
      <c r="D21">
        <v>68.610374858008313</v>
      </c>
    </row>
    <row r="22" spans="1:4" x14ac:dyDescent="0.2">
      <c r="A22" t="s">
        <v>144</v>
      </c>
      <c r="B22" t="str" cm="1">
        <f t="array" ref="B22">_xlfn.IFS(
ISNUMBER(SEARCH("*AUHV*",A23)),"AUHV",
ISNUMBER(SEARCH("*MNHV*",A23)),"MNHV",
ISNUMBER(SEARCH("*BWW*",A23)),"BWW",
ISNUMBER(SEARCH("*SWW*",A23)),"SWW",
ISNUMBER(SEARCH("*ORG*",A23)),"ORG",
ISNUMBER(SEARCH("*PRY*",A23)),"PRY",
ISNUMBER(SEARCH("*RCL*",A23)),"RCL"
)</f>
        <v>ORG</v>
      </c>
      <c r="C22" t="str" cm="1">
        <f t="array" ref="C22">_xlfn.IFS(
ISNUMBER(SEARCH("IV*",A22)),"IV",
ISNUMBER(SEARCH("III*",A22)),"III",
ISNUMBER(SEARCH("II*",A22)),"II",
ISNUMBER(SEARCH("I*",A22)),"I")</f>
        <v>I</v>
      </c>
      <c r="D22">
        <v>88.664874551971323</v>
      </c>
    </row>
    <row r="23" spans="1:4" x14ac:dyDescent="0.2">
      <c r="A23" t="s">
        <v>145</v>
      </c>
      <c r="B23" t="str" cm="1">
        <f t="array" ref="B23">_xlfn.IFS(
ISNUMBER(SEARCH("*AUHV*",A24)),"AUHV",
ISNUMBER(SEARCH("*MNHV*",A24)),"MNHV",
ISNUMBER(SEARCH("*BWW*",A24)),"BWW",
ISNUMBER(SEARCH("*SWW*",A24)),"SWW",
ISNUMBER(SEARCH("*ORG*",A24)),"ORG",
ISNUMBER(SEARCH("*PRY*",A24)),"PRY",
ISNUMBER(SEARCH("*RCL*",A24)),"RCL"
)</f>
        <v>PRY</v>
      </c>
      <c r="C23" t="str" cm="1">
        <f t="array" ref="C23">_xlfn.IFS(
ISNUMBER(SEARCH("IV*",A23)),"IV",
ISNUMBER(SEARCH("III*",A23)),"III",
ISNUMBER(SEARCH("II*",A23)),"II",
ISNUMBER(SEARCH("I*",A23)),"I")</f>
        <v>I</v>
      </c>
      <c r="D23">
        <v>91.034176653351082</v>
      </c>
    </row>
    <row r="24" spans="1:4" x14ac:dyDescent="0.2">
      <c r="A24" t="s">
        <v>146</v>
      </c>
      <c r="B24" t="str" cm="1">
        <f t="array" ref="B24">_xlfn.IFS(
ISNUMBER(SEARCH("*AUHV*",A25)),"AUHV",
ISNUMBER(SEARCH("*MNHV*",A25)),"MNHV",
ISNUMBER(SEARCH("*BWW*",A25)),"BWW",
ISNUMBER(SEARCH("*SWW*",A25)),"SWW",
ISNUMBER(SEARCH("*ORG*",A25)),"ORG",
ISNUMBER(SEARCH("*PRY*",A25)),"PRY",
ISNUMBER(SEARCH("*RCL*",A25)),"RCL"
)</f>
        <v>PRY</v>
      </c>
      <c r="C24" t="str" cm="1">
        <f t="array" ref="C24">_xlfn.IFS(
ISNUMBER(SEARCH("IV*",A24)),"IV",
ISNUMBER(SEARCH("III*",A24)),"III",
ISNUMBER(SEARCH("II*",A24)),"II",
ISNUMBER(SEARCH("I*",A24)),"I")</f>
        <v>I</v>
      </c>
      <c r="D24">
        <v>85.313459009206483</v>
      </c>
    </row>
    <row r="25" spans="1:4" x14ac:dyDescent="0.2">
      <c r="A25" t="s">
        <v>147</v>
      </c>
      <c r="B25" t="str" cm="1">
        <f t="array" ref="B25">_xlfn.IFS(
ISNUMBER(SEARCH("*AUHV*",A26)),"AUHV",
ISNUMBER(SEARCH("*MNHV*",A26)),"MNHV",
ISNUMBER(SEARCH("*BWW*",A26)),"BWW",
ISNUMBER(SEARCH("*SWW*",A26)),"SWW",
ISNUMBER(SEARCH("*ORG*",A26)),"ORG",
ISNUMBER(SEARCH("*PRY*",A26)),"PRY",
ISNUMBER(SEARCH("*RCL*",A26)),"RCL"
)</f>
        <v>RCL</v>
      </c>
      <c r="C25" t="str" cm="1">
        <f t="array" ref="C25">_xlfn.IFS(
ISNUMBER(SEARCH("IV*",A25)),"IV",
ISNUMBER(SEARCH("III*",A25)),"III",
ISNUMBER(SEARCH("II*",A25)),"II",
ISNUMBER(SEARCH("I*",A25)),"I")</f>
        <v>I</v>
      </c>
      <c r="D25">
        <v>83.523725834797887</v>
      </c>
    </row>
    <row r="26" spans="1:4" x14ac:dyDescent="0.2">
      <c r="A26" t="s">
        <v>148</v>
      </c>
      <c r="B26" t="str" cm="1">
        <f t="array" ref="B26">_xlfn.IFS(
ISNUMBER(SEARCH("*AUHV*",A27)),"AUHV",
ISNUMBER(SEARCH("*MNHV*",A27)),"MNHV",
ISNUMBER(SEARCH("*BWW*",A27)),"BWW",
ISNUMBER(SEARCH("*SWW*",A27)),"SWW",
ISNUMBER(SEARCH("*ORG*",A27)),"ORG",
ISNUMBER(SEARCH("*PRY*",A27)),"PRY",
ISNUMBER(SEARCH("*RCL*",A27)),"RCL"
)</f>
        <v>RCL</v>
      </c>
      <c r="C26" t="str" cm="1">
        <f t="array" ref="C26">_xlfn.IFS(
ISNUMBER(SEARCH("IV*",A26)),"IV",
ISNUMBER(SEARCH("III*",A26)),"III",
ISNUMBER(SEARCH("II*",A26)),"II",
ISNUMBER(SEARCH("I*",A26)),"I")</f>
        <v>I</v>
      </c>
      <c r="D26">
        <v>85.507828181453235</v>
      </c>
    </row>
    <row r="27" spans="1:4" x14ac:dyDescent="0.2">
      <c r="A27" t="s">
        <v>149</v>
      </c>
      <c r="B27" t="str" cm="1">
        <f t="array" ref="B27">_xlfn.IFS(
ISNUMBER(SEARCH("*AUHV*",A28)),"AUHV",
ISNUMBER(SEARCH("*MNHV*",A28)),"MNHV",
ISNUMBER(SEARCH("*BWW*",A28)),"BWW",
ISNUMBER(SEARCH("*SWW*",A28)),"SWW",
ISNUMBER(SEARCH("*ORG*",A28)),"ORG",
ISNUMBER(SEARCH("*PRY*",A28)),"PRY",
ISNUMBER(SEARCH("*RCL*",A28)),"RCL"
)</f>
        <v>SWW</v>
      </c>
      <c r="C27" t="str" cm="1">
        <f t="array" ref="C27">_xlfn.IFS(
ISNUMBER(SEARCH("IV*",A27)),"IV",
ISNUMBER(SEARCH("III*",A27)),"III",
ISNUMBER(SEARCH("II*",A27)),"II",
ISNUMBER(SEARCH("I*",A27)),"I")</f>
        <v>I</v>
      </c>
      <c r="D27">
        <v>85.370286233530209</v>
      </c>
    </row>
    <row r="28" spans="1:4" x14ac:dyDescent="0.2">
      <c r="A28" t="s">
        <v>150</v>
      </c>
      <c r="B28" t="str" cm="1">
        <f t="array" ref="B28">_xlfn.IFS(
ISNUMBER(SEARCH("*AUHV*",A29)),"AUHV",
ISNUMBER(SEARCH("*MNHV*",A29)),"MNHV",
ISNUMBER(SEARCH("*BWW*",A29)),"BWW",
ISNUMBER(SEARCH("*SWW*",A29)),"SWW",
ISNUMBER(SEARCH("*ORG*",A29)),"ORG",
ISNUMBER(SEARCH("*PRY*",A29)),"PRY",
ISNUMBER(SEARCH("*RCL*",A29)),"RCL"
)</f>
        <v>SWW</v>
      </c>
      <c r="C28" t="str" cm="1">
        <f t="array" ref="C28">_xlfn.IFS(
ISNUMBER(SEARCH("IV*",A28)),"IV",
ISNUMBER(SEARCH("III*",A28)),"III",
ISNUMBER(SEARCH("II*",A28)),"II",
ISNUMBER(SEARCH("I*",A28)),"I")</f>
        <v>I</v>
      </c>
      <c r="D28">
        <v>85.906916050456729</v>
      </c>
    </row>
    <row r="29" spans="1:4" x14ac:dyDescent="0.2">
      <c r="A29" t="s">
        <v>151</v>
      </c>
      <c r="B29" t="str" cm="1">
        <f t="array" ref="B29">_xlfn.IFS(
ISNUMBER(SEARCH("*AUHV*",A30)),"AUHV",
ISNUMBER(SEARCH("*MNHV*",A30)),"MNHV",
ISNUMBER(SEARCH("*BWW*",A30)),"BWW",
ISNUMBER(SEARCH("*SWW*",A30)),"SWW",
ISNUMBER(SEARCH("*ORG*",A30)),"ORG",
ISNUMBER(SEARCH("*PRY*",A30)),"PRY",
ISNUMBER(SEARCH("*RCL*",A30)),"RCL"
)</f>
        <v>AUHV</v>
      </c>
      <c r="C29" t="str" cm="1">
        <f t="array" ref="C29">_xlfn.IFS(
ISNUMBER(SEARCH("IV*",A29)),"IV",
ISNUMBER(SEARCH("III*",A29)),"III",
ISNUMBER(SEARCH("II*",A29)),"II",
ISNUMBER(SEARCH("I*",A29)),"I")</f>
        <v>I</v>
      </c>
      <c r="D29">
        <v>86.043233082706777</v>
      </c>
    </row>
    <row r="30" spans="1:4" x14ac:dyDescent="0.2">
      <c r="A30" t="s">
        <v>152</v>
      </c>
      <c r="B30" t="str" cm="1">
        <f t="array" ref="B30">_xlfn.IFS(
ISNUMBER(SEARCH("*AUHV*",A31)),"AUHV",
ISNUMBER(SEARCH("*MNHV*",A31)),"MNHV",
ISNUMBER(SEARCH("*BWW*",A31)),"BWW",
ISNUMBER(SEARCH("*SWW*",A31)),"SWW",
ISNUMBER(SEARCH("*ORG*",A31)),"ORG",
ISNUMBER(SEARCH("*PRY*",A31)),"PRY",
ISNUMBER(SEARCH("*RCL*",A31)),"RCL"
)</f>
        <v>AUHV</v>
      </c>
      <c r="C30" t="str" cm="1">
        <f t="array" ref="C30">_xlfn.IFS(
ISNUMBER(SEARCH("IV*",A30)),"IV",
ISNUMBER(SEARCH("III*",A30)),"III",
ISNUMBER(SEARCH("II*",A30)),"II",
ISNUMBER(SEARCH("I*",A30)),"I")</f>
        <v>II</v>
      </c>
      <c r="D30">
        <v>85.283993115318424</v>
      </c>
    </row>
    <row r="31" spans="1:4" x14ac:dyDescent="0.2">
      <c r="A31" t="s">
        <v>153</v>
      </c>
      <c r="B31" t="str" cm="1">
        <f t="array" ref="B31">_xlfn.IFS(
ISNUMBER(SEARCH("*AUHV*",A32)),"AUHV",
ISNUMBER(SEARCH("*MNHV*",A32)),"MNHV",
ISNUMBER(SEARCH("*BWW*",A32)),"BWW",
ISNUMBER(SEARCH("*SWW*",A32)),"SWW",
ISNUMBER(SEARCH("*ORG*",A32)),"ORG",
ISNUMBER(SEARCH("*PRY*",A32)),"PRY",
ISNUMBER(SEARCH("*RCL*",A32)),"RCL"
)</f>
        <v>BWW</v>
      </c>
      <c r="C31" t="str" cm="1">
        <f t="array" ref="C31">_xlfn.IFS(
ISNUMBER(SEARCH("IV*",A31)),"IV",
ISNUMBER(SEARCH("III*",A31)),"III",
ISNUMBER(SEARCH("II*",A31)),"II",
ISNUMBER(SEARCH("I*",A31)),"I")</f>
        <v>II</v>
      </c>
      <c r="D31">
        <v>84.306569343065675</v>
      </c>
    </row>
    <row r="32" spans="1:4" x14ac:dyDescent="0.2">
      <c r="A32" t="s">
        <v>154</v>
      </c>
      <c r="B32" t="str" cm="1">
        <f t="array" ref="B32">_xlfn.IFS(
ISNUMBER(SEARCH("*AUHV*",A33)),"AUHV",
ISNUMBER(SEARCH("*MNHV*",A33)),"MNHV",
ISNUMBER(SEARCH("*BWW*",A33)),"BWW",
ISNUMBER(SEARCH("*SWW*",A33)),"SWW",
ISNUMBER(SEARCH("*ORG*",A33)),"ORG",
ISNUMBER(SEARCH("*PRY*",A33)),"PRY",
ISNUMBER(SEARCH("*RCL*",A33)),"RCL"
)</f>
        <v>BWW</v>
      </c>
      <c r="C32" t="str" cm="1">
        <f t="array" ref="C32">_xlfn.IFS(
ISNUMBER(SEARCH("IV*",A32)),"IV",
ISNUMBER(SEARCH("III*",A32)),"III",
ISNUMBER(SEARCH("II*",A32)),"II",
ISNUMBER(SEARCH("I*",A32)),"I")</f>
        <v>II</v>
      </c>
      <c r="D32">
        <v>85.471204188481693</v>
      </c>
    </row>
    <row r="33" spans="1:4" x14ac:dyDescent="0.2">
      <c r="A33" t="s">
        <v>155</v>
      </c>
      <c r="B33" t="str" cm="1">
        <f t="array" ref="B33">_xlfn.IFS(
ISNUMBER(SEARCH("*AUHV*",A34)),"AUHV",
ISNUMBER(SEARCH("*MNHV*",A34)),"MNHV",
ISNUMBER(SEARCH("*BWW*",A34)),"BWW",
ISNUMBER(SEARCH("*SWW*",A34)),"SWW",
ISNUMBER(SEARCH("*ORG*",A34)),"ORG",
ISNUMBER(SEARCH("*PRY*",A34)),"PRY",
ISNUMBER(SEARCH("*RCL*",A34)),"RCL"
)</f>
        <v>MNHV</v>
      </c>
      <c r="C33" t="str" cm="1">
        <f t="array" ref="C33">_xlfn.IFS(
ISNUMBER(SEARCH("IV*",A33)),"IV",
ISNUMBER(SEARCH("III*",A33)),"III",
ISNUMBER(SEARCH("II*",A33)),"II",
ISNUMBER(SEARCH("I*",A33)),"I")</f>
        <v>II</v>
      </c>
      <c r="D33">
        <v>84.554537885095755</v>
      </c>
    </row>
    <row r="34" spans="1:4" x14ac:dyDescent="0.2">
      <c r="A34" t="s">
        <v>156</v>
      </c>
      <c r="B34" t="str" cm="1">
        <f t="array" ref="B34">_xlfn.IFS(
ISNUMBER(SEARCH("*AUHV*",A35)),"AUHV",
ISNUMBER(SEARCH("*MNHV*",A35)),"MNHV",
ISNUMBER(SEARCH("*BWW*",A35)),"BWW",
ISNUMBER(SEARCH("*SWW*",A35)),"SWW",
ISNUMBER(SEARCH("*ORG*",A35)),"ORG",
ISNUMBER(SEARCH("*PRY*",A35)),"PRY",
ISNUMBER(SEARCH("*RCL*",A35)),"RCL"
)</f>
        <v>MNHV</v>
      </c>
      <c r="C34" t="str" cm="1">
        <f t="array" ref="C34">_xlfn.IFS(
ISNUMBER(SEARCH("IV*",A34)),"IV",
ISNUMBER(SEARCH("III*",A34)),"III",
ISNUMBER(SEARCH("II*",A34)),"II",
ISNUMBER(SEARCH("I*",A34)),"I")</f>
        <v>II</v>
      </c>
      <c r="D34">
        <v>88.577664605311028</v>
      </c>
    </row>
    <row r="35" spans="1:4" x14ac:dyDescent="0.2">
      <c r="A35" t="s">
        <v>157</v>
      </c>
      <c r="B35" t="str" cm="1">
        <f t="array" ref="B35">_xlfn.IFS(
ISNUMBER(SEARCH("*AUHV*",A36)),"AUHV",
ISNUMBER(SEARCH("*MNHV*",A36)),"MNHV",
ISNUMBER(SEARCH("*BWW*",A36)),"BWW",
ISNUMBER(SEARCH("*SWW*",A36)),"SWW",
ISNUMBER(SEARCH("*ORG*",A36)),"ORG",
ISNUMBER(SEARCH("*PRY*",A36)),"PRY",
ISNUMBER(SEARCH("*RCL*",A36)),"RCL"
)</f>
        <v>ORG</v>
      </c>
      <c r="C35" t="str" cm="1">
        <f t="array" ref="C35">_xlfn.IFS(
ISNUMBER(SEARCH("IV*",A35)),"IV",
ISNUMBER(SEARCH("III*",A35)),"III",
ISNUMBER(SEARCH("II*",A35)),"II",
ISNUMBER(SEARCH("I*",A35)),"I")</f>
        <v>II</v>
      </c>
      <c r="D35">
        <v>87.832699619771873</v>
      </c>
    </row>
    <row r="36" spans="1:4" x14ac:dyDescent="0.2">
      <c r="A36" t="s">
        <v>158</v>
      </c>
      <c r="B36" t="str" cm="1">
        <f t="array" ref="B36">_xlfn.IFS(
ISNUMBER(SEARCH("*AUHV*",A37)),"AUHV",
ISNUMBER(SEARCH("*MNHV*",A37)),"MNHV",
ISNUMBER(SEARCH("*BWW*",A37)),"BWW",
ISNUMBER(SEARCH("*SWW*",A37)),"SWW",
ISNUMBER(SEARCH("*ORG*",A37)),"ORG",
ISNUMBER(SEARCH("*PRY*",A37)),"PRY",
ISNUMBER(SEARCH("*RCL*",A37)),"RCL"
)</f>
        <v>ORG</v>
      </c>
      <c r="C36" t="str" cm="1">
        <f t="array" ref="C36">_xlfn.IFS(
ISNUMBER(SEARCH("IV*",A36)),"IV",
ISNUMBER(SEARCH("III*",A36)),"III",
ISNUMBER(SEARCH("II*",A36)),"II",
ISNUMBER(SEARCH("I*",A36)),"I")</f>
        <v>II</v>
      </c>
      <c r="D36">
        <v>90.997174000807419</v>
      </c>
    </row>
    <row r="37" spans="1:4" x14ac:dyDescent="0.2">
      <c r="A37" t="s">
        <v>159</v>
      </c>
      <c r="B37" t="str" cm="1">
        <f t="array" ref="B37">_xlfn.IFS(
ISNUMBER(SEARCH("*AUHV*",A38)),"AUHV",
ISNUMBER(SEARCH("*MNHV*",A38)),"MNHV",
ISNUMBER(SEARCH("*BWW*",A38)),"BWW",
ISNUMBER(SEARCH("*SWW*",A38)),"SWW",
ISNUMBER(SEARCH("*ORG*",A38)),"ORG",
ISNUMBER(SEARCH("*PRY*",A38)),"PRY",
ISNUMBER(SEARCH("*RCL*",A38)),"RCL"
)</f>
        <v>PRY</v>
      </c>
      <c r="C37" t="str" cm="1">
        <f t="array" ref="C37">_xlfn.IFS(
ISNUMBER(SEARCH("IV*",A37)),"IV",
ISNUMBER(SEARCH("III*",A37)),"III",
ISNUMBER(SEARCH("II*",A37)),"II",
ISNUMBER(SEARCH("I*",A37)),"I")</f>
        <v>II</v>
      </c>
      <c r="D37">
        <v>90.638670166229218</v>
      </c>
    </row>
    <row r="38" spans="1:4" x14ac:dyDescent="0.2">
      <c r="A38" t="s">
        <v>160</v>
      </c>
      <c r="B38" t="str" cm="1">
        <f t="array" ref="B38">_xlfn.IFS(
ISNUMBER(SEARCH("*AUHV*",A39)),"AUHV",
ISNUMBER(SEARCH("*MNHV*",A39)),"MNHV",
ISNUMBER(SEARCH("*BWW*",A39)),"BWW",
ISNUMBER(SEARCH("*SWW*",A39)),"SWW",
ISNUMBER(SEARCH("*ORG*",A39)),"ORG",
ISNUMBER(SEARCH("*PRY*",A39)),"PRY",
ISNUMBER(SEARCH("*RCL*",A39)),"RCL"
)</f>
        <v>PRY</v>
      </c>
      <c r="C38" t="str" cm="1">
        <f t="array" ref="C38">_xlfn.IFS(
ISNUMBER(SEARCH("IV*",A38)),"IV",
ISNUMBER(SEARCH("III*",A38)),"III",
ISNUMBER(SEARCH("II*",A38)),"II",
ISNUMBER(SEARCH("I*",A38)),"I")</f>
        <v>II</v>
      </c>
      <c r="D38">
        <v>85.836038961038952</v>
      </c>
    </row>
    <row r="39" spans="1:4" x14ac:dyDescent="0.2">
      <c r="A39" t="s">
        <v>161</v>
      </c>
      <c r="B39" t="str" cm="1">
        <f t="array" ref="B39">_xlfn.IFS(
ISNUMBER(SEARCH("*AUHV*",A40)),"AUHV",
ISNUMBER(SEARCH("*MNHV*",A40)),"MNHV",
ISNUMBER(SEARCH("*BWW*",A40)),"BWW",
ISNUMBER(SEARCH("*SWW*",A40)),"SWW",
ISNUMBER(SEARCH("*ORG*",A40)),"ORG",
ISNUMBER(SEARCH("*PRY*",A40)),"PRY",
ISNUMBER(SEARCH("*RCL*",A40)),"RCL"
)</f>
        <v>RCL</v>
      </c>
      <c r="C39" t="str" cm="1">
        <f t="array" ref="C39">_xlfn.IFS(
ISNUMBER(SEARCH("IV*",A39)),"IV",
ISNUMBER(SEARCH("III*",A39)),"III",
ISNUMBER(SEARCH("II*",A39)),"II",
ISNUMBER(SEARCH("I*",A39)),"I")</f>
        <v>II</v>
      </c>
      <c r="D39">
        <v>85.330296127562633</v>
      </c>
    </row>
    <row r="40" spans="1:4" x14ac:dyDescent="0.2">
      <c r="A40" t="s">
        <v>162</v>
      </c>
      <c r="B40" t="str" cm="1">
        <f t="array" ref="B40">_xlfn.IFS(
ISNUMBER(SEARCH("*AUHV*",A41)),"AUHV",
ISNUMBER(SEARCH("*MNHV*",A41)),"MNHV",
ISNUMBER(SEARCH("*BWW*",A41)),"BWW",
ISNUMBER(SEARCH("*SWW*",A41)),"SWW",
ISNUMBER(SEARCH("*ORG*",A41)),"ORG",
ISNUMBER(SEARCH("*PRY*",A41)),"PRY",
ISNUMBER(SEARCH("*RCL*",A41)),"RCL"
)</f>
        <v>RCL</v>
      </c>
      <c r="C40" t="str" cm="1">
        <f t="array" ref="C40">_xlfn.IFS(
ISNUMBER(SEARCH("IV*",A40)),"IV",
ISNUMBER(SEARCH("III*",A40)),"III",
ISNUMBER(SEARCH("II*",A40)),"II",
ISNUMBER(SEARCH("I*",A40)),"I")</f>
        <v>II</v>
      </c>
      <c r="D40">
        <v>88.646895273401284</v>
      </c>
    </row>
    <row r="41" spans="1:4" x14ac:dyDescent="0.2">
      <c r="A41" t="s">
        <v>163</v>
      </c>
      <c r="B41" t="str" cm="1">
        <f t="array" ref="B41">_xlfn.IFS(
ISNUMBER(SEARCH("*AUHV*",A42)),"AUHV",
ISNUMBER(SEARCH("*MNHV*",A42)),"MNHV",
ISNUMBER(SEARCH("*BWW*",A42)),"BWW",
ISNUMBER(SEARCH("*SWW*",A42)),"SWW",
ISNUMBER(SEARCH("*ORG*",A42)),"ORG",
ISNUMBER(SEARCH("*PRY*",A42)),"PRY",
ISNUMBER(SEARCH("*RCL*",A42)),"RCL"
)</f>
        <v>SWW</v>
      </c>
      <c r="C41" t="str" cm="1">
        <f t="array" ref="C41">_xlfn.IFS(
ISNUMBER(SEARCH("IV*",A41)),"IV",
ISNUMBER(SEARCH("III*",A41)),"III",
ISNUMBER(SEARCH("II*",A41)),"II",
ISNUMBER(SEARCH("I*",A41)),"I")</f>
        <v>II</v>
      </c>
      <c r="D41">
        <v>88.803611738148973</v>
      </c>
    </row>
    <row r="42" spans="1:4" x14ac:dyDescent="0.2">
      <c r="A42" t="s">
        <v>164</v>
      </c>
      <c r="B42" t="str" cm="1">
        <f t="array" ref="B42">_xlfn.IFS(
ISNUMBER(SEARCH("*AUHV*",A43)),"AUHV",
ISNUMBER(SEARCH("*MNHV*",A43)),"MNHV",
ISNUMBER(SEARCH("*BWW*",A43)),"BWW",
ISNUMBER(SEARCH("*SWW*",A43)),"SWW",
ISNUMBER(SEARCH("*ORG*",A43)),"ORG",
ISNUMBER(SEARCH("*PRY*",A43)),"PRY",
ISNUMBER(SEARCH("*RCL*",A43)),"RCL"
)</f>
        <v>SWW</v>
      </c>
      <c r="C42" t="str" cm="1">
        <f t="array" ref="C42">_xlfn.IFS(
ISNUMBER(SEARCH("IV*",A42)),"IV",
ISNUMBER(SEARCH("III*",A42)),"III",
ISNUMBER(SEARCH("II*",A42)),"II",
ISNUMBER(SEARCH("I*",A42)),"I")</f>
        <v>II</v>
      </c>
      <c r="D42">
        <v>87.389659520807058</v>
      </c>
    </row>
    <row r="43" spans="1:4" x14ac:dyDescent="0.2">
      <c r="A43" t="s">
        <v>165</v>
      </c>
      <c r="B43" t="str" cm="1">
        <f t="array" ref="B43">_xlfn.IFS(
ISNUMBER(SEARCH("*AUHV*",A44)),"AUHV",
ISNUMBER(SEARCH("*MNHV*",A44)),"MNHV",
ISNUMBER(SEARCH("*BWW*",A44)),"BWW",
ISNUMBER(SEARCH("*SWW*",A44)),"SWW",
ISNUMBER(SEARCH("*ORG*",A44)),"ORG",
ISNUMBER(SEARCH("*PRY*",A44)),"PRY",
ISNUMBER(SEARCH("*RCL*",A44)),"RCL"
)</f>
        <v>AUHV</v>
      </c>
      <c r="C43" t="str" cm="1">
        <f t="array" ref="C43">_xlfn.IFS(
ISNUMBER(SEARCH("IV*",A43)),"IV",
ISNUMBER(SEARCH("III*",A43)),"III",
ISNUMBER(SEARCH("II*",A43)),"II",
ISNUMBER(SEARCH("I*",A43)),"I")</f>
        <v>II</v>
      </c>
      <c r="D43">
        <v>86.746987951807228</v>
      </c>
    </row>
    <row r="44" spans="1:4" x14ac:dyDescent="0.2">
      <c r="A44" t="s">
        <v>166</v>
      </c>
      <c r="B44" t="str" cm="1">
        <f t="array" ref="B44">_xlfn.IFS(
ISNUMBER(SEARCH("*AUHV*",A45)),"AUHV",
ISNUMBER(SEARCH("*MNHV*",A45)),"MNHV",
ISNUMBER(SEARCH("*BWW*",A45)),"BWW",
ISNUMBER(SEARCH("*SWW*",A45)),"SWW",
ISNUMBER(SEARCH("*ORG*",A45)),"ORG",
ISNUMBER(SEARCH("*PRY*",A45)),"PRY",
ISNUMBER(SEARCH("*RCL*",A45)),"RCL"
)</f>
        <v>AUHV</v>
      </c>
      <c r="C44" t="str" cm="1">
        <f t="array" ref="C44">_xlfn.IFS(
ISNUMBER(SEARCH("IV*",A44)),"IV",
ISNUMBER(SEARCH("III*",A44)),"III",
ISNUMBER(SEARCH("II*",A44)),"II",
ISNUMBER(SEARCH("I*",A44)),"I")</f>
        <v>IV</v>
      </c>
      <c r="D44">
        <v>78.717754172989387</v>
      </c>
    </row>
    <row r="45" spans="1:4" x14ac:dyDescent="0.2">
      <c r="A45" t="s">
        <v>167</v>
      </c>
      <c r="B45" t="str" cm="1">
        <f t="array" ref="B45">_xlfn.IFS(
ISNUMBER(SEARCH("*AUHV*",A46)),"AUHV",
ISNUMBER(SEARCH("*MNHV*",A46)),"MNHV",
ISNUMBER(SEARCH("*BWW*",A46)),"BWW",
ISNUMBER(SEARCH("*SWW*",A46)),"SWW",
ISNUMBER(SEARCH("*ORG*",A46)),"ORG",
ISNUMBER(SEARCH("*PRY*",A46)),"PRY",
ISNUMBER(SEARCH("*RCL*",A46)),"RCL"
)</f>
        <v>BWW</v>
      </c>
      <c r="C45" t="str" cm="1">
        <f t="array" ref="C45">_xlfn.IFS(
ISNUMBER(SEARCH("IV*",A45)),"IV",
ISNUMBER(SEARCH("III*",A45)),"III",
ISNUMBER(SEARCH("II*",A45)),"II",
ISNUMBER(SEARCH("I*",A45)),"I")</f>
        <v>IV</v>
      </c>
      <c r="D45">
        <v>78.90312249799841</v>
      </c>
    </row>
    <row r="46" spans="1:4" x14ac:dyDescent="0.2">
      <c r="A46" t="s">
        <v>168</v>
      </c>
      <c r="B46" t="str" cm="1">
        <f t="array" ref="B46">_xlfn.IFS(
ISNUMBER(SEARCH("*AUHV*",A47)),"AUHV",
ISNUMBER(SEARCH("*MNHV*",A47)),"MNHV",
ISNUMBER(SEARCH("*BWW*",A47)),"BWW",
ISNUMBER(SEARCH("*SWW*",A47)),"SWW",
ISNUMBER(SEARCH("*ORG*",A47)),"ORG",
ISNUMBER(SEARCH("*PRY*",A47)),"PRY",
ISNUMBER(SEARCH("*RCL*",A47)),"RCL"
)</f>
        <v>BWW</v>
      </c>
      <c r="C46" t="str" cm="1">
        <f t="array" ref="C46">_xlfn.IFS(
ISNUMBER(SEARCH("IV*",A46)),"IV",
ISNUMBER(SEARCH("III*",A46)),"III",
ISNUMBER(SEARCH("II*",A46)),"II",
ISNUMBER(SEARCH("I*",A46)),"I")</f>
        <v>IV</v>
      </c>
      <c r="D46">
        <v>80.748246297739669</v>
      </c>
    </row>
    <row r="47" spans="1:4" x14ac:dyDescent="0.2">
      <c r="A47" t="s">
        <v>169</v>
      </c>
      <c r="B47" t="str" cm="1">
        <f t="array" ref="B47">_xlfn.IFS(
ISNUMBER(SEARCH("*AUHV*",A48)),"AUHV",
ISNUMBER(SEARCH("*MNHV*",A48)),"MNHV",
ISNUMBER(SEARCH("*BWW*",A48)),"BWW",
ISNUMBER(SEARCH("*SWW*",A48)),"SWW",
ISNUMBER(SEARCH("*ORG*",A48)),"ORG",
ISNUMBER(SEARCH("*PRY*",A48)),"PRY",
ISNUMBER(SEARCH("*RCL*",A48)),"RCL"
)</f>
        <v>MNHV</v>
      </c>
      <c r="C47" t="str" cm="1">
        <f t="array" ref="C47">_xlfn.IFS(
ISNUMBER(SEARCH("IV*",A47)),"IV",
ISNUMBER(SEARCH("III*",A47)),"III",
ISNUMBER(SEARCH("II*",A47)),"II",
ISNUMBER(SEARCH("I*",A47)),"I")</f>
        <v>IV</v>
      </c>
      <c r="D47">
        <v>84.925053533190578</v>
      </c>
    </row>
    <row r="48" spans="1:4" x14ac:dyDescent="0.2">
      <c r="A48" t="s">
        <v>170</v>
      </c>
      <c r="B48" t="str" cm="1">
        <f t="array" ref="B48">_xlfn.IFS(
ISNUMBER(SEARCH("*AUHV*",A49)),"AUHV",
ISNUMBER(SEARCH("*MNHV*",A49)),"MNHV",
ISNUMBER(SEARCH("*BWW*",A49)),"BWW",
ISNUMBER(SEARCH("*SWW*",A49)),"SWW",
ISNUMBER(SEARCH("*ORG*",A49)),"ORG",
ISNUMBER(SEARCH("*PRY*",A49)),"PRY",
ISNUMBER(SEARCH("*RCL*",A49)),"RCL"
)</f>
        <v>MNHV</v>
      </c>
      <c r="C48" t="str" cm="1">
        <f t="array" ref="C48">_xlfn.IFS(
ISNUMBER(SEARCH("IV*",A48)),"IV",
ISNUMBER(SEARCH("III*",A48)),"III",
ISNUMBER(SEARCH("II*",A48)),"II",
ISNUMBER(SEARCH("I*",A48)),"I")</f>
        <v>IV</v>
      </c>
      <c r="D48">
        <v>80.048959608323131</v>
      </c>
    </row>
    <row r="49" spans="1:4" x14ac:dyDescent="0.2">
      <c r="A49" t="s">
        <v>171</v>
      </c>
      <c r="B49" t="str" cm="1">
        <f t="array" ref="B49">_xlfn.IFS(
ISNUMBER(SEARCH("*AUHV*",A50)),"AUHV",
ISNUMBER(SEARCH("*MNHV*",A50)),"MNHV",
ISNUMBER(SEARCH("*BWW*",A50)),"BWW",
ISNUMBER(SEARCH("*SWW*",A50)),"SWW",
ISNUMBER(SEARCH("*ORG*",A50)),"ORG",
ISNUMBER(SEARCH("*PRY*",A50)),"PRY",
ISNUMBER(SEARCH("*RCL*",A50)),"RCL"
)</f>
        <v>ORG</v>
      </c>
      <c r="C49" t="str" cm="1">
        <f t="array" ref="C49">_xlfn.IFS(
ISNUMBER(SEARCH("IV*",A49)),"IV",
ISNUMBER(SEARCH("III*",A49)),"III",
ISNUMBER(SEARCH("II*",A49)),"II",
ISNUMBER(SEARCH("I*",A49)),"I")</f>
        <v>IV</v>
      </c>
      <c r="D49">
        <v>80.786026200873366</v>
      </c>
    </row>
    <row r="50" spans="1:4" x14ac:dyDescent="0.2">
      <c r="A50" t="s">
        <v>172</v>
      </c>
      <c r="B50" t="str" cm="1">
        <f t="array" ref="B50">_xlfn.IFS(
ISNUMBER(SEARCH("*AUHV*",A51)),"AUHV",
ISNUMBER(SEARCH("*MNHV*",A51)),"MNHV",
ISNUMBER(SEARCH("*BWW*",A51)),"BWW",
ISNUMBER(SEARCH("*SWW*",A51)),"SWW",
ISNUMBER(SEARCH("*ORG*",A51)),"ORG",
ISNUMBER(SEARCH("*PRY*",A51)),"PRY",
ISNUMBER(SEARCH("*RCL*",A51)),"RCL"
)</f>
        <v>ORG</v>
      </c>
      <c r="C50" t="str" cm="1">
        <f t="array" ref="C50">_xlfn.IFS(
ISNUMBER(SEARCH("IV*",A50)),"IV",
ISNUMBER(SEARCH("III*",A50)),"III",
ISNUMBER(SEARCH("II*",A50)),"II",
ISNUMBER(SEARCH("I*",A50)),"I")</f>
        <v>IV</v>
      </c>
      <c r="D50">
        <v>80.043196544276469</v>
      </c>
    </row>
    <row r="51" spans="1:4" x14ac:dyDescent="0.2">
      <c r="A51" t="s">
        <v>173</v>
      </c>
      <c r="B51" t="str" cm="1">
        <f t="array" ref="B51">_xlfn.IFS(
ISNUMBER(SEARCH("*AUHV*",A52)),"AUHV",
ISNUMBER(SEARCH("*MNHV*",A52)),"MNHV",
ISNUMBER(SEARCH("*BWW*",A52)),"BWW",
ISNUMBER(SEARCH("*SWW*",A52)),"SWW",
ISNUMBER(SEARCH("*ORG*",A52)),"ORG",
ISNUMBER(SEARCH("*PRY*",A52)),"PRY",
ISNUMBER(SEARCH("*RCL*",A52)),"RCL"
)</f>
        <v>PRY</v>
      </c>
      <c r="C51" t="str" cm="1">
        <f t="array" ref="C51">_xlfn.IFS(
ISNUMBER(SEARCH("IV*",A51)),"IV",
ISNUMBER(SEARCH("III*",A51)),"III",
ISNUMBER(SEARCH("II*",A51)),"II",
ISNUMBER(SEARCH("I*",A51)),"I")</f>
        <v>IV</v>
      </c>
      <c r="D51">
        <v>82.095709570957098</v>
      </c>
    </row>
    <row r="52" spans="1:4" x14ac:dyDescent="0.2">
      <c r="A52" t="s">
        <v>174</v>
      </c>
      <c r="B52" t="str" cm="1">
        <f t="array" ref="B52">_xlfn.IFS(
ISNUMBER(SEARCH("*AUHV*",A53)),"AUHV",
ISNUMBER(SEARCH("*MNHV*",A53)),"MNHV",
ISNUMBER(SEARCH("*BWW*",A53)),"BWW",
ISNUMBER(SEARCH("*SWW*",A53)),"SWW",
ISNUMBER(SEARCH("*ORG*",A53)),"ORG",
ISNUMBER(SEARCH("*PRY*",A53)),"PRY",
ISNUMBER(SEARCH("*RCL*",A53)),"RCL"
)</f>
        <v>PRY</v>
      </c>
      <c r="C52" t="str" cm="1">
        <f t="array" ref="C52">_xlfn.IFS(
ISNUMBER(SEARCH("IV*",A52)),"IV",
ISNUMBER(SEARCH("III*",A52)),"III",
ISNUMBER(SEARCH("II*",A52)),"II",
ISNUMBER(SEARCH("I*",A52)),"I")</f>
        <v>IV</v>
      </c>
      <c r="D52">
        <v>78.913219789132214</v>
      </c>
    </row>
    <row r="53" spans="1:4" x14ac:dyDescent="0.2">
      <c r="A53" t="s">
        <v>175</v>
      </c>
      <c r="B53" t="str" cm="1">
        <f t="array" ref="B53">_xlfn.IFS(
ISNUMBER(SEARCH("*AUHV*",A54)),"AUHV",
ISNUMBER(SEARCH("*MNHV*",A54)),"MNHV",
ISNUMBER(SEARCH("*BWW*",A54)),"BWW",
ISNUMBER(SEARCH("*SWW*",A54)),"SWW",
ISNUMBER(SEARCH("*ORG*",A54)),"ORG",
ISNUMBER(SEARCH("*PRY*",A54)),"PRY",
ISNUMBER(SEARCH("*RCL*",A54)),"RCL"
)</f>
        <v>RCL</v>
      </c>
      <c r="C53" t="str" cm="1">
        <f t="array" ref="C53">_xlfn.IFS(
ISNUMBER(SEARCH("IV*",A53)),"IV",
ISNUMBER(SEARCH("III*",A53)),"III",
ISNUMBER(SEARCH("II*",A53)),"II",
ISNUMBER(SEARCH("I*",A53)),"I")</f>
        <v>IV</v>
      </c>
      <c r="D53">
        <v>81.513883605933813</v>
      </c>
    </row>
    <row r="54" spans="1:4" x14ac:dyDescent="0.2">
      <c r="A54" t="s">
        <v>176</v>
      </c>
      <c r="B54" t="str" cm="1">
        <f t="array" ref="B54">_xlfn.IFS(
ISNUMBER(SEARCH("*AUHV*",A55)),"AUHV",
ISNUMBER(SEARCH("*MNHV*",A55)),"MNHV",
ISNUMBER(SEARCH("*BWW*",A55)),"BWW",
ISNUMBER(SEARCH("*SWW*",A55)),"SWW",
ISNUMBER(SEARCH("*ORG*",A55)),"ORG",
ISNUMBER(SEARCH("*PRY*",A55)),"PRY",
ISNUMBER(SEARCH("*RCL*",A55)),"RCL"
)</f>
        <v>RCL</v>
      </c>
      <c r="C54" t="str" cm="1">
        <f t="array" ref="C54">_xlfn.IFS(
ISNUMBER(SEARCH("IV*",A54)),"IV",
ISNUMBER(SEARCH("III*",A54)),"III",
ISNUMBER(SEARCH("II*",A54)),"II",
ISNUMBER(SEARCH("I*",A54)),"I")</f>
        <v>IV</v>
      </c>
      <c r="D54">
        <v>82.142857142857139</v>
      </c>
    </row>
    <row r="55" spans="1:4" x14ac:dyDescent="0.2">
      <c r="A55" t="s">
        <v>177</v>
      </c>
      <c r="B55" t="str" cm="1">
        <f t="array" ref="B55">_xlfn.IFS(
ISNUMBER(SEARCH("*AUHV*",A56)),"AUHV",
ISNUMBER(SEARCH("*MNHV*",A56)),"MNHV",
ISNUMBER(SEARCH("*BWW*",A56)),"BWW",
ISNUMBER(SEARCH("*SWW*",A56)),"SWW",
ISNUMBER(SEARCH("*ORG*",A56)),"ORG",
ISNUMBER(SEARCH("*PRY*",A56)),"PRY",
ISNUMBER(SEARCH("*RCL*",A56)),"RCL"
)</f>
        <v>SWW</v>
      </c>
      <c r="C55" t="str" cm="1">
        <f t="array" ref="C55">_xlfn.IFS(
ISNUMBER(SEARCH("IV*",A55)),"IV",
ISNUMBER(SEARCH("III*",A55)),"III",
ISNUMBER(SEARCH("II*",A55)),"II",
ISNUMBER(SEARCH("I*",A55)),"I")</f>
        <v>IV</v>
      </c>
      <c r="D55">
        <v>82.14956783164223</v>
      </c>
    </row>
    <row r="56" spans="1:4" x14ac:dyDescent="0.2">
      <c r="A56" t="s">
        <v>178</v>
      </c>
      <c r="B56" t="str" cm="1">
        <f t="array" ref="B56">_xlfn.IFS(
ISNUMBER(SEARCH("*AUHV*",A57)),"AUHV",
ISNUMBER(SEARCH("*MNHV*",A57)),"MNHV",
ISNUMBER(SEARCH("*BWW*",A57)),"BWW",
ISNUMBER(SEARCH("*SWW*",A57)),"SWW",
ISNUMBER(SEARCH("*ORG*",A57)),"ORG",
ISNUMBER(SEARCH("*PRY*",A57)),"PRY",
ISNUMBER(SEARCH("*RCL*",A57)),"RCL"
)</f>
        <v>SWW</v>
      </c>
      <c r="C56" t="str" cm="1">
        <f t="array" ref="C56">_xlfn.IFS(
ISNUMBER(SEARCH("IV*",A56)),"IV",
ISNUMBER(SEARCH("III*",A56)),"III",
ISNUMBER(SEARCH("II*",A56)),"II",
ISNUMBER(SEARCH("I*",A56)),"I")</f>
        <v>IV</v>
      </c>
      <c r="D56">
        <v>79.784366576819409</v>
      </c>
    </row>
    <row r="57" spans="1:4" x14ac:dyDescent="0.2">
      <c r="A57" t="s">
        <v>179</v>
      </c>
      <c r="B57" t="s">
        <v>181</v>
      </c>
      <c r="C57" t="str" cm="1">
        <f t="array" ref="C57">_xlfn.IFS(
ISNUMBER(SEARCH("IV*",A57)),"IV",
ISNUMBER(SEARCH("III*",A57)),"III",
ISNUMBER(SEARCH("II*",A57)),"II",
ISNUMBER(SEARCH("I*",A57)),"I")</f>
        <v>IV</v>
      </c>
      <c r="D57">
        <v>79.889807162534439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Root_core</vt:lpstr>
      <vt:lpstr>Aboveground_and_avg_root</vt:lpstr>
      <vt:lpstr>soil_percent_dry_weight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Leigh Martinez</dc:creator>
  <cp:lastModifiedBy>Andrea Leigh Martinez</cp:lastModifiedBy>
  <dcterms:created xsi:type="dcterms:W3CDTF">2026-07-01T17:22:25Z</dcterms:created>
  <dcterms:modified xsi:type="dcterms:W3CDTF">2026-07-07T15:26:00Z</dcterms:modified>
</cp:coreProperties>
</file>