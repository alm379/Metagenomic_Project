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ndiemartinez/Desktop/Metagenomic_Project/data/"/>
    </mc:Choice>
  </mc:AlternateContent>
  <xr:revisionPtr revIDLastSave="0" documentId="8_{73D0E3B7-C574-E145-821C-23217761E3EA}" xr6:coauthVersionLast="47" xr6:coauthVersionMax="47" xr10:uidLastSave="{00000000-0000-0000-0000-000000000000}"/>
  <bookViews>
    <workbookView xWindow="3900" yWindow="660" windowWidth="24740" windowHeight="15960" activeTab="2" xr2:uid="{AAA723B9-5451-4048-9172-08D71A65C89A}"/>
  </bookViews>
  <sheets>
    <sheet name="Plate setup" sheetId="1" r:id="rId1"/>
    <sheet name="MUB+AMC standards" sheetId="2" r:id="rId2"/>
    <sheet name="Key for Samples"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6" i="2" l="1"/>
  <c r="D17" i="2"/>
  <c r="D18" i="2"/>
  <c r="D19" i="2"/>
  <c r="D20" i="2"/>
  <c r="D21" i="2"/>
  <c r="D22" i="2"/>
  <c r="D15" i="2"/>
  <c r="C16" i="2"/>
  <c r="C17" i="2"/>
  <c r="C18" i="2"/>
  <c r="C19" i="2"/>
  <c r="C20" i="2"/>
  <c r="C21" i="2"/>
  <c r="C22" i="2"/>
  <c r="C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tc={33E18CE9-BAE6-BE4B-B2AA-20A8F52913A0}</author>
    <author>tc={80A21F97-9503-9E4B-9CBF-A40ED7835185}</author>
    <author>tc={527E30A4-4BC3-C742-935C-1B4BB53E0E11}</author>
    <author>tc={B74E0799-EBBC-E640-9BF7-5AC887B157B6}</author>
    <author>tc={D398474E-DFCF-F44B-8E75-1CBC4D1EE619}</author>
    <author>tc={4A0FB229-0A82-5C49-AC1C-E1987F738817}</author>
    <author>tc={9BE15255-85AF-B643-8C18-109FA392BFEC}</author>
    <author>tc={B9FB5F81-C8A3-A04C-812E-847C3A944F8A}</author>
    <author>tc={1FEBDC88-4AC6-4743-BC9D-A7BE1DFED9F5}</author>
  </authors>
  <commentList>
    <comment ref="B77" authorId="0" shapeId="0" xr:uid="{33E18CE9-BAE6-BE4B-B2AA-20A8F52913A0}">
      <text>
        <t>[Threaded comment]
Your version of Excel allows you to read this threaded comment; however, any edits to it will get removed if the file is opened in a newer version of Excel. Learn more: https://go.microsoft.com/fwlink/?linkid=870924
Comment:
    Soil Slurry with Substrates Tab &gt; AP column</t>
      </text>
    </comment>
    <comment ref="C77" authorId="1" shapeId="0" xr:uid="{80A21F97-9503-9E4B-9CBF-A40ED7835185}">
      <text>
        <t>[Threaded comment]
Your version of Excel allows you to read this threaded comment; however, any edits to it will get removed if the file is opened in a newer version of Excel. Learn more: https://go.microsoft.com/fwlink/?linkid=870924
Comment:
    Soil Slurry with Substrates Tab &gt; BG column</t>
      </text>
    </comment>
    <comment ref="D77" authorId="2" shapeId="0" xr:uid="{527E30A4-4BC3-C742-935C-1B4BB53E0E11}">
      <text>
        <t>[Threaded comment]
Your version of Excel allows you to read this threaded comment; however, any edits to it will get removed if the file is opened in a newer version of Excel. Learn more: https://go.microsoft.com/fwlink/?linkid=870924
Comment:
    Soil Slurry with Substrates Tab &gt; CB column</t>
      </text>
    </comment>
    <comment ref="E77" authorId="3" shapeId="0" xr:uid="{B74E0799-EBBC-E640-9BF7-5AC887B157B6}">
      <text>
        <t>[Threaded comment]
Your version of Excel allows you to read this threaded comment; however, any edits to it will get removed if the file is opened in a newer version of Excel. Learn more: https://go.microsoft.com/fwlink/?linkid=870924
Comment:
    Soil Slurry with Substrates Tab &gt; NAG column</t>
      </text>
    </comment>
    <comment ref="F77" authorId="4" shapeId="0" xr:uid="{D398474E-DFCF-F44B-8E75-1CBC4D1EE619}">
      <text>
        <t>[Threaded comment]
Your version of Excel allows you to read this threaded comment; however, any edits to it will get removed if the file is opened in a newer version of Excel. Learn more: https://go.microsoft.com/fwlink/?linkid=870924
Comment:
    Soil Slurry Blanks Tab - H2O</t>
      </text>
    </comment>
    <comment ref="L77" authorId="5" shapeId="0" xr:uid="{4A0FB229-0A82-5C49-AC1C-E1987F738817}">
      <text>
        <t>[Threaded comment]
Your version of Excel allows you to read this threaded comment; however, any edits to it will get removed if the file is opened in a newer version of Excel. Learn more: https://go.microsoft.com/fwlink/?linkid=870924
Comment:
    Substrate Blanks, Blank Type = AP (need to copy twice for the two samples on the plate)</t>
      </text>
    </comment>
    <comment ref="M77" authorId="6" shapeId="0" xr:uid="{9BE15255-85AF-B643-8C18-109FA392BFEC}">
      <text>
        <t>[Threaded comment]
Your version of Excel allows you to read this threaded comment; however, any edits to it will get removed if the file is opened in a newer version of Excel. Learn more: https://go.microsoft.com/fwlink/?linkid=870924
Comment:
    Plate H2O Blanks Tab &gt; Hydrolytic Enzymes Plate Blank Column</t>
      </text>
    </comment>
    <comment ref="A95" authorId="7" shapeId="0" xr:uid="{B9FB5F81-C8A3-A04C-812E-847C3A944F8A}">
      <text>
        <t>[Threaded comment]
Your version of Excel allows you to read this threaded comment; however, any edits to it will get removed if the file is opened in a newer version of Excel. Learn more: https://go.microsoft.com/fwlink/?linkid=870924
Comment:
    Soil Slurry Std Curves (MUB) Tab</t>
      </text>
    </comment>
    <comment ref="A106" authorId="8" shapeId="0" xr:uid="{1FEBDC88-4AC6-4743-BC9D-A7BE1DFED9F5}">
      <text>
        <t>[Threaded comment]
Your version of Excel allows you to read this threaded comment; however, any edits to it will get removed if the file is opened in a newer version of Excel. Learn more: https://go.microsoft.com/fwlink/?linkid=870924
Comment:
    Blank Std Curve (MUB) Tab</t>
      </text>
    </comment>
  </commentList>
</comments>
</file>

<file path=xl/sharedStrings.xml><?xml version="1.0" encoding="utf-8"?>
<sst xmlns="http://schemas.openxmlformats.org/spreadsheetml/2006/main" count="1604" uniqueCount="323">
  <si>
    <t>Plate 1: 1 &amp; 2</t>
  </si>
  <si>
    <t>A</t>
  </si>
  <si>
    <t>1 BG</t>
  </si>
  <si>
    <t>1 CB</t>
  </si>
  <si>
    <t>1 NAG</t>
  </si>
  <si>
    <t>1 H2O</t>
  </si>
  <si>
    <t>2 BG</t>
  </si>
  <si>
    <t>2 CB</t>
  </si>
  <si>
    <t>2 NAG</t>
  </si>
  <si>
    <t>2 H2O</t>
  </si>
  <si>
    <t>H2O</t>
  </si>
  <si>
    <t>1 PER</t>
  </si>
  <si>
    <t>1 PO</t>
  </si>
  <si>
    <t>1PERB</t>
  </si>
  <si>
    <t>1 POB</t>
  </si>
  <si>
    <t>2PER</t>
  </si>
  <si>
    <t>2 PO</t>
  </si>
  <si>
    <t>2 PERB</t>
  </si>
  <si>
    <t>2 POB</t>
  </si>
  <si>
    <t>PERB</t>
  </si>
  <si>
    <t>POB</t>
  </si>
  <si>
    <t>H2O2 B</t>
  </si>
  <si>
    <t>B</t>
  </si>
  <si>
    <t>C</t>
  </si>
  <si>
    <t>BG + H2O</t>
  </si>
  <si>
    <t>D</t>
  </si>
  <si>
    <t>E</t>
  </si>
  <si>
    <t>CB + H2O</t>
  </si>
  <si>
    <t>F</t>
  </si>
  <si>
    <t>G</t>
  </si>
  <si>
    <t>NAG+ H2O</t>
  </si>
  <si>
    <t>H</t>
  </si>
  <si>
    <t>NAG + H2O</t>
  </si>
  <si>
    <t xml:space="preserve">Plate 2:  3 &amp; 4 </t>
  </si>
  <si>
    <t>3 BG</t>
  </si>
  <si>
    <t>3 CB</t>
  </si>
  <si>
    <t>3 NAG</t>
  </si>
  <si>
    <t>3 H2O</t>
  </si>
  <si>
    <t>4 BG</t>
  </si>
  <si>
    <t>4 CB</t>
  </si>
  <si>
    <t>4 NAG</t>
  </si>
  <si>
    <t>4 H2O</t>
  </si>
  <si>
    <t>Plate 3: 4 &amp; 5</t>
  </si>
  <si>
    <t>5 BG</t>
  </si>
  <si>
    <t>5 CB</t>
  </si>
  <si>
    <t>5 NAG</t>
  </si>
  <si>
    <t>5 H2O</t>
  </si>
  <si>
    <t>6 BG</t>
  </si>
  <si>
    <t>6 CB</t>
  </si>
  <si>
    <t>6 NAG</t>
  </si>
  <si>
    <t>6 H2O</t>
  </si>
  <si>
    <t xml:space="preserve">Plate 4:  7 &amp; 8 </t>
  </si>
  <si>
    <t>7 BG</t>
  </si>
  <si>
    <t>7 CB</t>
  </si>
  <si>
    <t>7 NAG</t>
  </si>
  <si>
    <t>7 H2O</t>
  </si>
  <si>
    <t>8 BG</t>
  </si>
  <si>
    <t>8 CB</t>
  </si>
  <si>
    <t>8 NAG</t>
  </si>
  <si>
    <t>8 H2O</t>
  </si>
  <si>
    <t>Plate 5: 9 &amp; 10</t>
  </si>
  <si>
    <t>9 BG</t>
  </si>
  <si>
    <t>9 CB</t>
  </si>
  <si>
    <t>9 NAG</t>
  </si>
  <si>
    <t>9 H2O</t>
  </si>
  <si>
    <t>10 BG</t>
  </si>
  <si>
    <t>10 CB</t>
  </si>
  <si>
    <t>10 NAG</t>
  </si>
  <si>
    <t>10 H2O</t>
  </si>
  <si>
    <t>Plate 6: 11 &amp; 12</t>
  </si>
  <si>
    <t>11 BG</t>
  </si>
  <si>
    <t>11 CB</t>
  </si>
  <si>
    <t>11 NAG</t>
  </si>
  <si>
    <t>11 H2O</t>
  </si>
  <si>
    <t>12 BG</t>
  </si>
  <si>
    <t>12 CB</t>
  </si>
  <si>
    <t>12 NAG</t>
  </si>
  <si>
    <t>12 H2O</t>
  </si>
  <si>
    <t>Plate 7: Soil slurry standards</t>
  </si>
  <si>
    <t>1 + 40 uM std</t>
  </si>
  <si>
    <t>2 + 40 uM std</t>
  </si>
  <si>
    <t>3 + 40 uM std</t>
  </si>
  <si>
    <t>4 + 40 uM std</t>
  </si>
  <si>
    <t>5 + 40 uM std</t>
  </si>
  <si>
    <t>6 + 40 uM std</t>
  </si>
  <si>
    <t>7 + 40 uM std</t>
  </si>
  <si>
    <t>8 + 40 uM std</t>
  </si>
  <si>
    <t>9 + 40 uM std</t>
  </si>
  <si>
    <t>10 + 40 uM std</t>
  </si>
  <si>
    <t>11+ 40 uM std</t>
  </si>
  <si>
    <t>12+ 40 uM std</t>
  </si>
  <si>
    <t>1 + 30 uM std</t>
  </si>
  <si>
    <t>2 + 30 uM std</t>
  </si>
  <si>
    <t>3 + 30 uM std</t>
  </si>
  <si>
    <t>4 + 30 uM std</t>
  </si>
  <si>
    <t>5 + 30 uM std</t>
  </si>
  <si>
    <t>6 + 30 uM std</t>
  </si>
  <si>
    <t>7 + 30 uM std</t>
  </si>
  <si>
    <t>8 + 30 uM std</t>
  </si>
  <si>
    <t>9 + 30 uM std</t>
  </si>
  <si>
    <t>10 + 30 uM std</t>
  </si>
  <si>
    <t>11+ 30 uM std</t>
  </si>
  <si>
    <t>12+ 30 uM std</t>
  </si>
  <si>
    <t>1 + 20  uM std</t>
  </si>
  <si>
    <t>2 + 20  uM std</t>
  </si>
  <si>
    <t>3 + 20  uM std</t>
  </si>
  <si>
    <t>4 + 20  uM std</t>
  </si>
  <si>
    <t>5 + 20  uM std</t>
  </si>
  <si>
    <t>6 + 20  uM std</t>
  </si>
  <si>
    <t>7 + 20  uM std</t>
  </si>
  <si>
    <t>8 + 20  uM std</t>
  </si>
  <si>
    <t>9 + 20  uM std</t>
  </si>
  <si>
    <t>10 + 20  uM std</t>
  </si>
  <si>
    <t>11+ 20  uM std</t>
  </si>
  <si>
    <t>12+ 20  uM std</t>
  </si>
  <si>
    <t>1 + 15  uM std</t>
  </si>
  <si>
    <t>2 + 15  uM std</t>
  </si>
  <si>
    <t>3 + 15  uM std</t>
  </si>
  <si>
    <t>4 + 15  uM std</t>
  </si>
  <si>
    <t>5 + 15  uM std</t>
  </si>
  <si>
    <t>6 + 15  uM std</t>
  </si>
  <si>
    <t>7 + 15  uM std</t>
  </si>
  <si>
    <t>8 + 15  uM std</t>
  </si>
  <si>
    <t>9 + 15  uM std</t>
  </si>
  <si>
    <t>10 + 15  uM std</t>
  </si>
  <si>
    <t>11+ 15  uM std</t>
  </si>
  <si>
    <t>12+ 15  uM std</t>
  </si>
  <si>
    <t>1 + 10 uM std</t>
  </si>
  <si>
    <t>2 + 10 uM std</t>
  </si>
  <si>
    <t>3 + 10 uM std</t>
  </si>
  <si>
    <t>4 + 10 uM std</t>
  </si>
  <si>
    <t>5 + 10 uM std</t>
  </si>
  <si>
    <t>6 + 10 uM std</t>
  </si>
  <si>
    <t>7 + 10 uM std</t>
  </si>
  <si>
    <t>8 + 10 uM std</t>
  </si>
  <si>
    <t>9 + 10 uM std</t>
  </si>
  <si>
    <t>10 + 10 uM std</t>
  </si>
  <si>
    <t>11+ 10 uM std</t>
  </si>
  <si>
    <t>12+ 10 uM std</t>
  </si>
  <si>
    <t>1 + 7.5 uM std</t>
  </si>
  <si>
    <t>2 + 7.5 uM std</t>
  </si>
  <si>
    <t>3 + 7.5 uM std</t>
  </si>
  <si>
    <t>4 + 7.5 uM std</t>
  </si>
  <si>
    <t>5 + 7.5 uM std</t>
  </si>
  <si>
    <t>6 + 7.5 uM std</t>
  </si>
  <si>
    <t>7 + 7.5 uM std</t>
  </si>
  <si>
    <t>8 + 7.5 uM std</t>
  </si>
  <si>
    <t>9 + 7.5 uM std</t>
  </si>
  <si>
    <t>10 + 7.5 uM std</t>
  </si>
  <si>
    <t>11+ 7.5 uM std</t>
  </si>
  <si>
    <t>12+ 7.5 uM std</t>
  </si>
  <si>
    <t>1 + 5 uM std</t>
  </si>
  <si>
    <t>2 + 5 uM std</t>
  </si>
  <si>
    <t>3 + 5 uM std</t>
  </si>
  <si>
    <t>4 + 5 uM std</t>
  </si>
  <si>
    <t>5 + 5 uM std</t>
  </si>
  <si>
    <t>6 + 5 uM std</t>
  </si>
  <si>
    <t>7 + 5 uM std</t>
  </si>
  <si>
    <t>8 + 5 uM std</t>
  </si>
  <si>
    <t>9 + 5 uM std</t>
  </si>
  <si>
    <t>10 + 5 uM std</t>
  </si>
  <si>
    <t>11+ 5 uM std</t>
  </si>
  <si>
    <t>12+ 5 uM std</t>
  </si>
  <si>
    <t>1 + 0  uM std</t>
  </si>
  <si>
    <t>2 + 0  uM std</t>
  </si>
  <si>
    <t>3 + 0  uM std</t>
  </si>
  <si>
    <t>4 + 0  uM std</t>
  </si>
  <si>
    <t>5 + 0  uM std</t>
  </si>
  <si>
    <t>6 + 0  uM std</t>
  </si>
  <si>
    <t>7 + 0  uM std</t>
  </si>
  <si>
    <t>8 + 0  uM std</t>
  </si>
  <si>
    <t>9 + 0  uM std</t>
  </si>
  <si>
    <t>10 + 0  uM std</t>
  </si>
  <si>
    <t>11+ 0  uM std</t>
  </si>
  <si>
    <t>12+ 0  uM std</t>
  </si>
  <si>
    <t>**** forgot to add 50 uL of H2O to the 0 std of the soil slurry standard plate</t>
  </si>
  <si>
    <t>Plate 8: Blank Standards</t>
  </si>
  <si>
    <t>40 MUB + H2O</t>
  </si>
  <si>
    <t>30 MUB + H2O</t>
  </si>
  <si>
    <t>20 MUB + H2O</t>
  </si>
  <si>
    <t>15 MUB + H2O</t>
  </si>
  <si>
    <t>10 MUB + H2O</t>
  </si>
  <si>
    <t>7.5 MUB + H2O</t>
  </si>
  <si>
    <t>5 MUB + H2O</t>
  </si>
  <si>
    <t>1 LAP</t>
  </si>
  <si>
    <t>2 LAP</t>
  </si>
  <si>
    <t>LAP + H2O</t>
  </si>
  <si>
    <t>3 LAP</t>
  </si>
  <si>
    <t>4 LAP</t>
  </si>
  <si>
    <t>5 LAP</t>
  </si>
  <si>
    <t>6 LAP</t>
  </si>
  <si>
    <t>7 LAP</t>
  </si>
  <si>
    <t>8 LAP</t>
  </si>
  <si>
    <t>9 LAP</t>
  </si>
  <si>
    <t>10 LAP</t>
  </si>
  <si>
    <t>11 LAP</t>
  </si>
  <si>
    <t>12 LAP</t>
  </si>
  <si>
    <t xml:space="preserve">Each well has a total volume of 250 uL.  Use the Plate Set Up tab.  </t>
  </si>
  <si>
    <t>Well Content</t>
  </si>
  <si>
    <t xml:space="preserve">200 uL of </t>
  </si>
  <si>
    <t>50 uL of</t>
  </si>
  <si>
    <t xml:space="preserve">Sample + Substrate </t>
  </si>
  <si>
    <t>soil sample</t>
  </si>
  <si>
    <t>Sample Blank</t>
  </si>
  <si>
    <t xml:space="preserve">soil sample </t>
  </si>
  <si>
    <t xml:space="preserve">Substrate Blank </t>
  </si>
  <si>
    <t>buffer (H2O)</t>
  </si>
  <si>
    <t>MUB standard</t>
  </si>
  <si>
    <t>MUB Standard Curve</t>
  </si>
  <si>
    <t>Buffer Blank</t>
  </si>
  <si>
    <t>substrate (LAP, BG, CB, or NAG)</t>
  </si>
  <si>
    <t>AMC Standard Curve</t>
  </si>
  <si>
    <t>AMC standard</t>
  </si>
  <si>
    <t>Soil Slurry MUB Standard Curve</t>
  </si>
  <si>
    <t>Soil Slurry AMC Standard Curve</t>
  </si>
  <si>
    <t>std</t>
  </si>
  <si>
    <t>mL of 100 uM std to transfer</t>
  </si>
  <si>
    <t>uL of std to transfer</t>
  </si>
  <si>
    <t>uL sterile water to add</t>
  </si>
  <si>
    <t xml:space="preserve">You  need the following general blanks (1 column filled per oxidative enzyme plate for each general blank). These are made in 15 mL falcon tubes, and 10 mL total will supply for 6 plates. </t>
  </si>
  <si>
    <t>Tube Content</t>
  </si>
  <si>
    <t>Subsitute Slurry</t>
  </si>
  <si>
    <t xml:space="preserve">Substrate </t>
  </si>
  <si>
    <t>Substrate +</t>
  </si>
  <si>
    <t>PER Blank</t>
  </si>
  <si>
    <t>8 mL H2O</t>
  </si>
  <si>
    <t>2 mL DOPA</t>
  </si>
  <si>
    <t>-</t>
  </si>
  <si>
    <t>PO Blank</t>
  </si>
  <si>
    <t>7.69 mL H2O</t>
  </si>
  <si>
    <t>1.92 mL of DOPA</t>
  </si>
  <si>
    <t>.38 mL of H2O2</t>
  </si>
  <si>
    <t>H2O2 Blank</t>
  </si>
  <si>
    <t>9.62 mL of H2O</t>
  </si>
  <si>
    <t>Water Blank</t>
  </si>
  <si>
    <t>For each sample, make the following in 1.5 mL centrifuge tubes:</t>
  </si>
  <si>
    <t>Number of Tubes</t>
  </si>
  <si>
    <t xml:space="preserve">800 uL of </t>
  </si>
  <si>
    <t xml:space="preserve">40 uL of </t>
  </si>
  <si>
    <t>Sample PO (#PO)</t>
  </si>
  <si>
    <t>soil slurry</t>
  </si>
  <si>
    <t>DOPA</t>
  </si>
  <si>
    <t>Sample PO Blank (#POB)</t>
  </si>
  <si>
    <t>Sample PER (#PER)</t>
  </si>
  <si>
    <t>H2O2</t>
  </si>
  <si>
    <t>Sample PER Blank (#PERB)</t>
  </si>
  <si>
    <t xml:space="preserve">Set </t>
  </si>
  <si>
    <t>Plate</t>
  </si>
  <si>
    <t>col 1-4</t>
  </si>
  <si>
    <t>col 5-9</t>
  </si>
  <si>
    <t>Notes</t>
  </si>
  <si>
    <t>T1-I-C1-1</t>
  </si>
  <si>
    <t>T1-I-C1-2</t>
  </si>
  <si>
    <t>T1-I-C2-1</t>
  </si>
  <si>
    <t>T1-I-C2-2</t>
  </si>
  <si>
    <t>T1-I-AUHV-1</t>
  </si>
  <si>
    <t>T1-I-AUHV-2</t>
  </si>
  <si>
    <t>T1-I-BWW-1</t>
  </si>
  <si>
    <t>T1-I-BWW-2</t>
  </si>
  <si>
    <t>T1-I-MNHV-1</t>
  </si>
  <si>
    <t>T1-I-MNHV-2</t>
  </si>
  <si>
    <t>T1-I-ORG-1</t>
  </si>
  <si>
    <t>T1-I-ORG-2</t>
  </si>
  <si>
    <t>T1-I-PRY-1</t>
  </si>
  <si>
    <t>T1-I-PRY-2</t>
  </si>
  <si>
    <t>T1-I-RCL-1</t>
  </si>
  <si>
    <t>T1-I-R L-2</t>
  </si>
  <si>
    <t>T1-I-SWW-1</t>
  </si>
  <si>
    <t>T1-I-SWW-2</t>
  </si>
  <si>
    <t>T1-II-C1-1</t>
  </si>
  <si>
    <t>T1-II-C1-2</t>
  </si>
  <si>
    <t>T1-II-C2-1</t>
  </si>
  <si>
    <t>T1-II-C2-2</t>
  </si>
  <si>
    <t>T1-II-AUHV-1</t>
  </si>
  <si>
    <t>T1-II-AUHV-2</t>
  </si>
  <si>
    <t>T1-II-BWW-1</t>
  </si>
  <si>
    <t>T1-II-BWW-2</t>
  </si>
  <si>
    <t>T1-II-MNHV-1</t>
  </si>
  <si>
    <t>T1-II-MNHV-2</t>
  </si>
  <si>
    <t>T1-II-ORG-1</t>
  </si>
  <si>
    <t>T1-II-ORG-2</t>
  </si>
  <si>
    <t>T1-II-PRY-1</t>
  </si>
  <si>
    <t>T1-II-PRY-2</t>
  </si>
  <si>
    <t>T1-II-RCL-1</t>
  </si>
  <si>
    <t>T1-II-R L-2</t>
  </si>
  <si>
    <t>T1-II-SWW-1</t>
  </si>
  <si>
    <t>T1-II-SWW-2</t>
  </si>
  <si>
    <t>T1-III-C1-1</t>
  </si>
  <si>
    <t>T1-III-C1-2</t>
  </si>
  <si>
    <t>T1-III-C2-1</t>
  </si>
  <si>
    <t>T1-III-C2-2</t>
  </si>
  <si>
    <t>T1-III-AUHV-1</t>
  </si>
  <si>
    <t>T1-III-AUHV-2</t>
  </si>
  <si>
    <t>T1-III-BWW-1</t>
  </si>
  <si>
    <t>T1-III-BWW-2</t>
  </si>
  <si>
    <t>T1-III-MNHV-1</t>
  </si>
  <si>
    <t>T1-III-MNHV-2</t>
  </si>
  <si>
    <t>T1-III-ORG-1</t>
  </si>
  <si>
    <t>T1-III-ORG-2</t>
  </si>
  <si>
    <t>T1-III-PRY-1</t>
  </si>
  <si>
    <t>T1-III-PRY-2</t>
  </si>
  <si>
    <t>T1-III-RCL-1</t>
  </si>
  <si>
    <t>T1-III-R L-2</t>
  </si>
  <si>
    <t>T1-III-SWW-1</t>
  </si>
  <si>
    <t>T1-III-SWW-2</t>
  </si>
  <si>
    <t>T1-IV-C1-1</t>
  </si>
  <si>
    <t>T1-IV-C1-2</t>
  </si>
  <si>
    <t>T1-IV-C2-1</t>
  </si>
  <si>
    <t>T1-IV-C2-2</t>
  </si>
  <si>
    <t>T1-IV-AUHV-1</t>
  </si>
  <si>
    <t>T1-IV-AUHV-2</t>
  </si>
  <si>
    <t>T1-IV-BWW-1</t>
  </si>
  <si>
    <t>T1-IV-BWW-2</t>
  </si>
  <si>
    <t>T1-IV-MNHV-1</t>
  </si>
  <si>
    <t>T1-IV-MNHV-2</t>
  </si>
  <si>
    <t>T1-IV-ORG-1</t>
  </si>
  <si>
    <t>T1-IV-ORG-2</t>
  </si>
  <si>
    <t>T1-IV-PRY-1</t>
  </si>
  <si>
    <t>T1-IV-PRY-2</t>
  </si>
  <si>
    <t>T1-IV-RCL-1</t>
  </si>
  <si>
    <t>T1-IV-R L-2</t>
  </si>
  <si>
    <t>T1-IV-SWW-1</t>
  </si>
  <si>
    <t>T1-IV-SWW-2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</si>
</sst>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000000"/>
      <name val="Aptos Narrow"/>
      <family val="2"/>
      <scheme val="minor"/>
    </font>
    <font>
      <sz val="11"/>
      <color rgb="FF000000"/>
      <name val="Aptos Narrow"/>
      <family val="2"/>
      <scheme val="minor"/>
    </font>
    <font>
      <sz val="10"/>
      <color rgb="FF000000"/>
      <name val="Tahoma"/>
      <family val="2"/>
    </font>
    <font>
      <sz val="11"/>
      <color rgb="FF000000"/>
      <name val="Calibri"/>
      <family val="2"/>
    </font>
    <font>
      <sz val="12"/>
      <color theme="1"/>
      <name val="Calibri"/>
      <family val="2"/>
    </font>
    <font>
      <b/>
      <sz val="12"/>
      <color theme="1"/>
      <name val="Calibri"/>
      <family val="2"/>
    </font>
    <font>
      <b/>
      <sz val="11"/>
      <color theme="1"/>
      <name val="Aptos Narrow"/>
      <family val="2"/>
      <scheme val="minor"/>
    </font>
  </fonts>
  <fills count="20">
    <fill>
      <patternFill patternType="none"/>
    </fill>
    <fill>
      <patternFill patternType="gray125"/>
    </fill>
    <fill>
      <patternFill patternType="solid">
        <fgColor rgb="FF7030A0"/>
        <bgColor indexed="64"/>
      </patternFill>
    </fill>
    <fill>
      <patternFill patternType="solid">
        <fgColor theme="4"/>
        <bgColor indexed="64"/>
      </patternFill>
    </fill>
    <fill>
      <patternFill patternType="solid">
        <fgColor rgb="FF4EA72E"/>
        <bgColor indexed="64"/>
      </patternFill>
    </fill>
    <fill>
      <patternFill patternType="solid">
        <fgColor theme="8" tint="0.59999389629810485"/>
        <bgColor indexed="64"/>
      </patternFill>
    </fill>
    <fill>
      <patternFill patternType="solid">
        <fgColor rgb="FF4DA72E"/>
        <bgColor indexed="64"/>
      </patternFill>
    </fill>
    <fill>
      <patternFill patternType="solid">
        <fgColor rgb="FF833C0C"/>
        <bgColor rgb="FF000000"/>
      </patternFill>
    </fill>
    <fill>
      <patternFill patternType="solid">
        <fgColor rgb="FF833C0B"/>
        <bgColor indexed="64"/>
      </patternFill>
    </fill>
    <fill>
      <patternFill patternType="solid">
        <fgColor rgb="FFC65911"/>
        <bgColor rgb="FF000000"/>
      </patternFill>
    </fill>
    <fill>
      <patternFill patternType="solid">
        <fgColor rgb="FFC75912"/>
        <bgColor indexed="64"/>
      </patternFill>
    </fill>
    <fill>
      <patternFill patternType="solid">
        <fgColor rgb="FFF4B084"/>
        <bgColor rgb="FF000000"/>
      </patternFill>
    </fill>
    <fill>
      <patternFill patternType="solid">
        <fgColor rgb="FFF4B084"/>
        <bgColor indexed="64"/>
      </patternFill>
    </fill>
    <fill>
      <patternFill patternType="solid">
        <fgColor rgb="FFF8CBAD"/>
        <bgColor rgb="FF000000"/>
      </patternFill>
    </fill>
    <fill>
      <patternFill patternType="solid">
        <fgColor rgb="FFF8CBAD"/>
        <bgColor indexed="64"/>
      </patternFill>
    </fill>
    <fill>
      <patternFill patternType="solid">
        <fgColor rgb="FFFCE4D6"/>
        <bgColor rgb="FF000000"/>
      </patternFill>
    </fill>
    <fill>
      <patternFill patternType="solid">
        <fgColor rgb="FFFCE4D6"/>
        <bgColor indexed="64"/>
      </patternFill>
    </fill>
    <fill>
      <patternFill patternType="solid">
        <fgColor rgb="FFFFEDDF"/>
        <bgColor rgb="FF000000"/>
      </patternFill>
    </fill>
    <fill>
      <patternFill patternType="solid">
        <fgColor rgb="FFFFEDDF"/>
        <bgColor indexed="64"/>
      </patternFill>
    </fill>
    <fill>
      <patternFill patternType="solid">
        <fgColor rgb="FFFFF3EB"/>
        <bgColor indexed="64"/>
      </patternFill>
    </fill>
  </fills>
  <borders count="1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60">
    <xf numFmtId="0" fontId="0" fillId="0" borderId="0" xfId="0"/>
    <xf numFmtId="0" fontId="0" fillId="0" borderId="0" xfId="0"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0" fillId="4" borderId="0" xfId="0" applyFill="1"/>
    <xf numFmtId="0" fontId="0" fillId="5" borderId="0" xfId="0" applyFill="1" applyAlignment="1">
      <alignment horizontal="center"/>
    </xf>
    <xf numFmtId="0" fontId="1" fillId="0" borderId="0" xfId="0" applyFont="1" applyAlignment="1">
      <alignment horizontal="center"/>
    </xf>
    <xf numFmtId="0" fontId="0" fillId="6" borderId="0" xfId="0" applyFill="1" applyAlignment="1">
      <alignment horizontal="center"/>
    </xf>
    <xf numFmtId="0" fontId="0" fillId="5" borderId="0" xfId="0" applyFill="1"/>
    <xf numFmtId="0" fontId="3" fillId="0" borderId="0" xfId="0" applyFont="1"/>
    <xf numFmtId="0" fontId="3" fillId="7" borderId="0" xfId="0" applyFont="1" applyFill="1" applyAlignment="1">
      <alignment horizontal="center"/>
    </xf>
    <xf numFmtId="0" fontId="4" fillId="8" borderId="0" xfId="0" applyFont="1" applyFill="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0" fillId="10" borderId="0" xfId="0" applyFill="1" applyAlignment="1">
      <alignment horizontal="center"/>
    </xf>
    <xf numFmtId="0" fontId="3" fillId="10" borderId="0" xfId="0" applyFont="1" applyFill="1" applyAlignment="1">
      <alignment horizontal="center"/>
    </xf>
    <xf numFmtId="0" fontId="3" fillId="11" borderId="0" xfId="0" applyFont="1" applyFill="1" applyAlignment="1">
      <alignment horizontal="center"/>
    </xf>
    <xf numFmtId="0" fontId="0" fillId="12" borderId="0" xfId="0" applyFill="1" applyAlignment="1">
      <alignment horizontal="center"/>
    </xf>
    <xf numFmtId="0" fontId="3" fillId="12" borderId="0" xfId="0" applyFont="1" applyFill="1" applyAlignment="1">
      <alignment horizontal="center"/>
    </xf>
    <xf numFmtId="0" fontId="3" fillId="13" borderId="0" xfId="0" applyFont="1" applyFill="1" applyAlignment="1">
      <alignment horizontal="center"/>
    </xf>
    <xf numFmtId="0" fontId="0" fillId="14" borderId="0" xfId="0" applyFill="1" applyAlignment="1">
      <alignment horizontal="center"/>
    </xf>
    <xf numFmtId="0" fontId="3" fillId="14" borderId="0" xfId="0" applyFont="1" applyFill="1" applyAlignment="1">
      <alignment horizontal="center"/>
    </xf>
    <xf numFmtId="0" fontId="3" fillId="15" borderId="0" xfId="0" applyFont="1" applyFill="1" applyAlignment="1">
      <alignment horizontal="center"/>
    </xf>
    <xf numFmtId="0" fontId="0" fillId="16" borderId="0" xfId="0" applyFill="1" applyAlignment="1">
      <alignment horizontal="center"/>
    </xf>
    <xf numFmtId="0" fontId="3" fillId="16" borderId="0" xfId="0" applyFont="1" applyFill="1" applyAlignment="1">
      <alignment horizontal="center"/>
    </xf>
    <xf numFmtId="0" fontId="3" fillId="17" borderId="0" xfId="0" applyFont="1" applyFill="1" applyAlignment="1">
      <alignment horizontal="center"/>
    </xf>
    <xf numFmtId="0" fontId="0" fillId="18" borderId="0" xfId="0" applyFill="1" applyAlignment="1">
      <alignment horizontal="center"/>
    </xf>
    <xf numFmtId="0" fontId="3" fillId="18" borderId="0" xfId="0" applyFont="1" applyFill="1" applyAlignment="1">
      <alignment horizontal="center"/>
    </xf>
    <xf numFmtId="0" fontId="3" fillId="19" borderId="0" xfId="0" applyFont="1" applyFill="1" applyAlignment="1">
      <alignment horizontal="center"/>
    </xf>
    <xf numFmtId="0" fontId="0" fillId="19" borderId="0" xfId="0" applyFill="1" applyAlignment="1">
      <alignment horizontal="center"/>
    </xf>
    <xf numFmtId="0" fontId="3" fillId="0" borderId="0" xfId="0" applyFont="1" applyAlignment="1">
      <alignment horizontal="center"/>
    </xf>
    <xf numFmtId="0" fontId="0" fillId="8" borderId="0" xfId="0" applyFill="1"/>
    <xf numFmtId="0" fontId="0" fillId="10" borderId="0" xfId="0" applyFill="1"/>
    <xf numFmtId="0" fontId="0" fillId="12" borderId="0" xfId="0" applyFill="1"/>
    <xf numFmtId="0" fontId="0" fillId="14" borderId="0" xfId="0" applyFill="1"/>
    <xf numFmtId="0" fontId="0" fillId="16" borderId="0" xfId="0" applyFill="1"/>
    <xf numFmtId="0" fontId="0" fillId="18" borderId="0" xfId="0" applyFill="1"/>
    <xf numFmtId="0" fontId="0" fillId="19" borderId="0" xfId="0" applyFill="1"/>
    <xf numFmtId="0" fontId="6" fillId="0" borderId="0" xfId="0" applyFont="1"/>
    <xf numFmtId="0" fontId="6" fillId="0" borderId="1" xfId="0" applyFont="1" applyBorder="1"/>
    <xf numFmtId="0" fontId="6" fillId="0" borderId="2" xfId="0" applyFont="1" applyBorder="1"/>
    <xf numFmtId="0" fontId="6" fillId="0" borderId="3" xfId="0" applyFont="1" applyBorder="1"/>
    <xf numFmtId="0" fontId="6" fillId="0" borderId="4" xfId="0" applyFont="1" applyBorder="1"/>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6" fillId="0" borderId="0" xfId="0" applyFont="1" applyBorder="1"/>
    <xf numFmtId="0" fontId="7" fillId="0" borderId="0" xfId="0" applyFont="1"/>
    <xf numFmtId="0" fontId="8" fillId="0" borderId="0" xfId="0" applyFont="1"/>
    <xf numFmtId="0" fontId="9" fillId="0" borderId="9" xfId="0" applyFont="1" applyBorder="1"/>
    <xf numFmtId="0" fontId="9" fillId="0" borderId="10" xfId="0" applyFont="1" applyBorder="1"/>
    <xf numFmtId="0" fontId="9" fillId="0" borderId="1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Alignment="1">
      <alignment horizontal="left"/>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7" dT="2025-05-09T01:54:56.88" personId="{00000000-0000-0000-0000-000000000000}" id="{33E18CE9-BAE6-BE4B-B2AA-20A8F52913A0}">
    <text>Soil Slurry with Substrates Tab &gt; AP column</text>
  </threadedComment>
  <threadedComment ref="C77" dT="2025-05-09T01:56:16.64" personId="{00000000-0000-0000-0000-000000000000}" id="{80A21F97-9503-9E4B-9CBF-A40ED7835185}">
    <text>Soil Slurry with Substrates Tab &gt; BG column</text>
  </threadedComment>
  <threadedComment ref="D77" dT="2025-05-09T01:56:27.49" personId="{00000000-0000-0000-0000-000000000000}" id="{527E30A4-4BC3-C742-935C-1B4BB53E0E11}">
    <text>Soil Slurry with Substrates Tab &gt; CB column</text>
  </threadedComment>
  <threadedComment ref="E77" dT="2025-05-09T01:56:38.00" personId="{00000000-0000-0000-0000-000000000000}" id="{B74E0799-EBBC-E640-9BF7-5AC887B157B6}">
    <text>Soil Slurry with Substrates Tab &gt; NAG column</text>
  </threadedComment>
  <threadedComment ref="F77" dT="2025-05-09T01:55:22.77" personId="{00000000-0000-0000-0000-000000000000}" id="{D398474E-DFCF-F44B-8E75-1CBC4D1EE619}">
    <text>Soil Slurry Blanks Tab - H2O</text>
  </threadedComment>
  <threadedComment ref="L77" dT="2025-05-09T01:58:35.13" personId="{00000000-0000-0000-0000-000000000000}" id="{4A0FB229-0A82-5C49-AC1C-E1987F738817}">
    <text>Substrate Blanks, Blank Type = AP (need to copy twice for the two samples on the plate)</text>
  </threadedComment>
  <threadedComment ref="M77" dT="2025-05-09T01:57:14.92" personId="{00000000-0000-0000-0000-000000000000}" id="{9BE15255-85AF-B643-8C18-109FA392BFEC}">
    <text>Plate H2O Blanks Tab &gt; Hydrolytic Enzymes Plate Blank Column</text>
  </threadedComment>
  <threadedComment ref="A95" dT="2025-05-09T01:54:33.00" personId="{00000000-0000-0000-0000-000000000000}" id="{B9FB5F81-C8A3-A04C-812E-847C3A944F8A}">
    <text>Soil Slurry Std Curves (MUB) Tab</text>
  </threadedComment>
  <threadedComment ref="A106" dT="2025-05-09T01:54:17.66" personId="{00000000-0000-0000-0000-000000000000}" id="{1FEBDC88-4AC6-4743-BC9D-A7BE1DFED9F5}">
    <text>Blank Std Curve (MUB) Tab</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3C61E-3153-6F4C-BAA8-A4B1A2F18488}">
  <dimension ref="A1:AA115"/>
  <sheetViews>
    <sheetView topLeftCell="M8" workbookViewId="0">
      <selection activeCell="U9" sqref="U9"/>
    </sheetView>
  </sheetViews>
  <sheetFormatPr baseColWidth="10" defaultColWidth="8.83203125" defaultRowHeight="16" x14ac:dyDescent="0.2"/>
  <cols>
    <col min="1" max="1" width="25.33203125" customWidth="1"/>
    <col min="2" max="2" width="13.5" customWidth="1"/>
    <col min="3" max="3" width="12.5" customWidth="1"/>
    <col min="4" max="4" width="12.1640625" customWidth="1"/>
    <col min="5" max="5" width="12.6640625" customWidth="1"/>
    <col min="6" max="6" width="13.1640625" customWidth="1"/>
    <col min="7" max="7" width="12.5" customWidth="1"/>
    <col min="8" max="8" width="11.5" customWidth="1"/>
    <col min="9" max="9" width="11.6640625" customWidth="1"/>
    <col min="10" max="10" width="12.1640625" customWidth="1"/>
    <col min="11" max="11" width="13.33203125" customWidth="1"/>
    <col min="12" max="12" width="13.5" customWidth="1"/>
    <col min="13" max="13" width="12.83203125" customWidth="1"/>
    <col min="15" max="15" width="22.1640625" customWidth="1"/>
    <col min="16" max="16" width="14" customWidth="1"/>
    <col min="17" max="17" width="15" customWidth="1"/>
    <col min="18" max="18" width="9.83203125" customWidth="1"/>
    <col min="24" max="24" width="11" bestFit="1" customWidth="1"/>
    <col min="25" max="25" width="10" bestFit="1" customWidth="1"/>
    <col min="26" max="26" width="19" bestFit="1" customWidth="1"/>
  </cols>
  <sheetData>
    <row r="1" spans="1:27" ht="17" thickBot="1" x14ac:dyDescent="0.25">
      <c r="A1" s="38" t="s">
        <v>197</v>
      </c>
      <c r="B1" s="38"/>
      <c r="C1" s="38"/>
      <c r="D1" s="38"/>
      <c r="O1" s="58" t="s">
        <v>219</v>
      </c>
      <c r="P1" s="58"/>
      <c r="Q1" s="58"/>
      <c r="R1" s="58"/>
      <c r="S1" s="58"/>
    </row>
    <row r="2" spans="1:27" ht="17" thickBot="1" x14ac:dyDescent="0.25">
      <c r="A2" s="39" t="s">
        <v>198</v>
      </c>
      <c r="B2" s="40" t="s">
        <v>199</v>
      </c>
      <c r="C2" s="41" t="s">
        <v>200</v>
      </c>
      <c r="D2" s="38"/>
    </row>
    <row r="3" spans="1:27" x14ac:dyDescent="0.2">
      <c r="A3" s="42" t="s">
        <v>201</v>
      </c>
      <c r="B3" s="38" t="s">
        <v>202</v>
      </c>
      <c r="C3" s="43" t="s">
        <v>210</v>
      </c>
      <c r="D3" s="38"/>
      <c r="O3" s="50" t="s">
        <v>220</v>
      </c>
      <c r="P3" s="51" t="s">
        <v>221</v>
      </c>
      <c r="Q3" s="51" t="s">
        <v>222</v>
      </c>
      <c r="R3" s="51" t="s">
        <v>223</v>
      </c>
      <c r="S3" s="52"/>
    </row>
    <row r="4" spans="1:27" x14ac:dyDescent="0.2">
      <c r="A4" s="42" t="s">
        <v>203</v>
      </c>
      <c r="B4" s="38" t="s">
        <v>204</v>
      </c>
      <c r="C4" s="43" t="s">
        <v>10</v>
      </c>
      <c r="D4" s="38"/>
      <c r="O4" s="53" t="s">
        <v>224</v>
      </c>
      <c r="P4" t="s">
        <v>225</v>
      </c>
      <c r="Q4" t="s">
        <v>226</v>
      </c>
      <c r="R4" t="s">
        <v>227</v>
      </c>
      <c r="S4" s="54"/>
    </row>
    <row r="5" spans="1:27" x14ac:dyDescent="0.2">
      <c r="A5" s="42" t="s">
        <v>205</v>
      </c>
      <c r="B5" s="38" t="s">
        <v>206</v>
      </c>
      <c r="C5" s="43" t="s">
        <v>210</v>
      </c>
      <c r="D5" s="38"/>
      <c r="O5" s="53" t="s">
        <v>228</v>
      </c>
      <c r="P5" t="s">
        <v>229</v>
      </c>
      <c r="Q5" t="s">
        <v>230</v>
      </c>
      <c r="R5" t="s">
        <v>231</v>
      </c>
      <c r="S5" s="54"/>
    </row>
    <row r="6" spans="1:27" x14ac:dyDescent="0.2">
      <c r="A6" s="42" t="s">
        <v>213</v>
      </c>
      <c r="B6" s="38" t="s">
        <v>204</v>
      </c>
      <c r="C6" s="43" t="s">
        <v>207</v>
      </c>
      <c r="D6" s="38"/>
      <c r="O6" s="53" t="s">
        <v>232</v>
      </c>
      <c r="P6" t="s">
        <v>233</v>
      </c>
      <c r="Q6" t="s">
        <v>227</v>
      </c>
      <c r="R6" t="s">
        <v>231</v>
      </c>
      <c r="S6" s="54"/>
    </row>
    <row r="7" spans="1:27" ht="17" thickBot="1" x14ac:dyDescent="0.25">
      <c r="A7" s="42" t="s">
        <v>214</v>
      </c>
      <c r="B7" s="38" t="s">
        <v>204</v>
      </c>
      <c r="C7" s="43" t="s">
        <v>212</v>
      </c>
      <c r="D7" s="38"/>
      <c r="O7" s="55" t="s">
        <v>234</v>
      </c>
      <c r="P7" s="56" t="s">
        <v>10</v>
      </c>
      <c r="Q7" s="56"/>
      <c r="R7" s="56"/>
      <c r="S7" s="57"/>
    </row>
    <row r="8" spans="1:27" x14ac:dyDescent="0.2">
      <c r="A8" s="42" t="s">
        <v>208</v>
      </c>
      <c r="B8" s="38" t="s">
        <v>206</v>
      </c>
      <c r="C8" s="43" t="s">
        <v>207</v>
      </c>
      <c r="D8" s="38"/>
    </row>
    <row r="9" spans="1:27" x14ac:dyDescent="0.2">
      <c r="A9" s="42" t="s">
        <v>211</v>
      </c>
      <c r="B9" s="38" t="s">
        <v>206</v>
      </c>
      <c r="C9" s="43" t="s">
        <v>212</v>
      </c>
      <c r="D9" s="38"/>
      <c r="O9" t="s">
        <v>235</v>
      </c>
    </row>
    <row r="10" spans="1:27" ht="17" thickBot="1" x14ac:dyDescent="0.25">
      <c r="A10" s="44" t="s">
        <v>209</v>
      </c>
      <c r="B10" s="45" t="s">
        <v>206</v>
      </c>
      <c r="C10" s="46" t="s">
        <v>10</v>
      </c>
      <c r="D10" s="38"/>
    </row>
    <row r="11" spans="1:27" x14ac:dyDescent="0.2">
      <c r="A11" s="47"/>
      <c r="B11" s="47"/>
      <c r="C11" s="47"/>
      <c r="D11" s="38"/>
      <c r="O11" s="50" t="s">
        <v>220</v>
      </c>
      <c r="P11" s="51" t="s">
        <v>236</v>
      </c>
      <c r="Q11" s="51" t="s">
        <v>237</v>
      </c>
      <c r="R11" s="51" t="s">
        <v>199</v>
      </c>
      <c r="S11" s="52" t="s">
        <v>238</v>
      </c>
    </row>
    <row r="12" spans="1:27" x14ac:dyDescent="0.2">
      <c r="A12" s="47"/>
      <c r="B12" s="47"/>
      <c r="C12" s="47"/>
      <c r="D12" s="38"/>
      <c r="O12" s="53" t="s">
        <v>239</v>
      </c>
      <c r="P12">
        <v>2</v>
      </c>
      <c r="Q12" t="s">
        <v>240</v>
      </c>
      <c r="R12" t="s">
        <v>241</v>
      </c>
      <c r="S12" s="54" t="s">
        <v>227</v>
      </c>
    </row>
    <row r="13" spans="1:27" x14ac:dyDescent="0.2">
      <c r="A13" s="47"/>
      <c r="B13" s="47"/>
      <c r="C13" s="47"/>
      <c r="D13" s="38"/>
      <c r="O13" s="53" t="s">
        <v>242</v>
      </c>
      <c r="P13">
        <v>2</v>
      </c>
      <c r="Q13" t="s">
        <v>240</v>
      </c>
      <c r="R13" t="s">
        <v>10</v>
      </c>
      <c r="S13" s="54" t="s">
        <v>227</v>
      </c>
    </row>
    <row r="14" spans="1:27" x14ac:dyDescent="0.2">
      <c r="A14" s="38"/>
      <c r="B14" s="38"/>
      <c r="C14" s="38"/>
      <c r="D14" s="38"/>
      <c r="O14" s="53" t="s">
        <v>243</v>
      </c>
      <c r="P14">
        <v>2</v>
      </c>
      <c r="Q14" t="s">
        <v>240</v>
      </c>
      <c r="R14" t="s">
        <v>241</v>
      </c>
      <c r="S14" s="54" t="s">
        <v>244</v>
      </c>
    </row>
    <row r="15" spans="1:27" ht="17" thickBot="1" x14ac:dyDescent="0.25">
      <c r="A15" t="s">
        <v>0</v>
      </c>
      <c r="O15" s="55" t="s">
        <v>245</v>
      </c>
      <c r="P15" s="56">
        <v>2</v>
      </c>
      <c r="Q15" s="56" t="s">
        <v>240</v>
      </c>
      <c r="R15" s="56" t="s">
        <v>10</v>
      </c>
      <c r="S15" s="57" t="s">
        <v>10</v>
      </c>
    </row>
    <row r="16" spans="1:27" x14ac:dyDescent="0.2">
      <c r="B16" s="1">
        <v>1</v>
      </c>
      <c r="C16" s="1">
        <v>2</v>
      </c>
      <c r="D16" s="1">
        <v>3</v>
      </c>
      <c r="E16" s="1">
        <v>4</v>
      </c>
      <c r="F16" s="1">
        <v>5</v>
      </c>
      <c r="G16" s="1">
        <v>6</v>
      </c>
      <c r="H16" s="1">
        <v>7</v>
      </c>
      <c r="I16" s="1">
        <v>8</v>
      </c>
      <c r="J16" s="1">
        <v>9</v>
      </c>
      <c r="K16" s="1">
        <v>10</v>
      </c>
      <c r="L16" s="1">
        <v>11</v>
      </c>
      <c r="M16" s="1">
        <v>12</v>
      </c>
      <c r="P16" s="1">
        <v>1</v>
      </c>
      <c r="Q16" s="1">
        <v>2</v>
      </c>
      <c r="R16" s="1">
        <v>3</v>
      </c>
      <c r="S16" s="1">
        <v>4</v>
      </c>
      <c r="T16" s="1">
        <v>5</v>
      </c>
      <c r="U16" s="1">
        <v>6</v>
      </c>
      <c r="V16" s="1">
        <v>7</v>
      </c>
      <c r="W16" s="1">
        <v>8</v>
      </c>
      <c r="X16" s="1">
        <v>9</v>
      </c>
      <c r="Y16" s="1">
        <v>10</v>
      </c>
      <c r="Z16" s="1">
        <v>11</v>
      </c>
      <c r="AA16" s="1">
        <v>12</v>
      </c>
    </row>
    <row r="17" spans="1:27" x14ac:dyDescent="0.2">
      <c r="A17" t="s">
        <v>1</v>
      </c>
      <c r="B17" s="2" t="s">
        <v>184</v>
      </c>
      <c r="C17" s="3" t="s">
        <v>2</v>
      </c>
      <c r="D17" s="4" t="s">
        <v>3</v>
      </c>
      <c r="E17" s="5" t="s">
        <v>4</v>
      </c>
      <c r="F17" s="1" t="s">
        <v>5</v>
      </c>
      <c r="G17" s="2" t="s">
        <v>185</v>
      </c>
      <c r="H17" s="3" t="s">
        <v>6</v>
      </c>
      <c r="I17" s="4" t="s">
        <v>7</v>
      </c>
      <c r="J17" s="5" t="s">
        <v>8</v>
      </c>
      <c r="K17" s="1" t="s">
        <v>9</v>
      </c>
      <c r="L17" s="2" t="s">
        <v>186</v>
      </c>
      <c r="M17" s="1" t="s">
        <v>10</v>
      </c>
      <c r="O17" t="s">
        <v>1</v>
      </c>
      <c r="P17" s="2" t="s">
        <v>11</v>
      </c>
      <c r="Q17" s="3" t="s">
        <v>12</v>
      </c>
      <c r="R17" s="1" t="s">
        <v>13</v>
      </c>
      <c r="S17" s="4" t="s">
        <v>14</v>
      </c>
      <c r="T17" s="2" t="s">
        <v>15</v>
      </c>
      <c r="U17" s="3" t="s">
        <v>16</v>
      </c>
      <c r="V17" t="s">
        <v>17</v>
      </c>
      <c r="W17" s="4" t="s">
        <v>18</v>
      </c>
      <c r="X17" s="2" t="s">
        <v>19</v>
      </c>
      <c r="Y17" s="3" t="s">
        <v>20</v>
      </c>
      <c r="Z17" s="6" t="s">
        <v>21</v>
      </c>
      <c r="AA17" s="1" t="s">
        <v>10</v>
      </c>
    </row>
    <row r="18" spans="1:27" x14ac:dyDescent="0.2">
      <c r="A18" t="s">
        <v>22</v>
      </c>
      <c r="B18" s="2" t="s">
        <v>184</v>
      </c>
      <c r="C18" s="3" t="s">
        <v>2</v>
      </c>
      <c r="D18" s="4" t="s">
        <v>3</v>
      </c>
      <c r="E18" s="5" t="s">
        <v>4</v>
      </c>
      <c r="F18" s="1" t="s">
        <v>5</v>
      </c>
      <c r="G18" s="2" t="s">
        <v>185</v>
      </c>
      <c r="H18" s="3" t="s">
        <v>6</v>
      </c>
      <c r="I18" s="4" t="s">
        <v>7</v>
      </c>
      <c r="J18" s="5" t="s">
        <v>8</v>
      </c>
      <c r="K18" s="1" t="s">
        <v>9</v>
      </c>
      <c r="L18" s="2" t="s">
        <v>186</v>
      </c>
      <c r="M18" s="1" t="s">
        <v>10</v>
      </c>
      <c r="O18" t="s">
        <v>22</v>
      </c>
      <c r="P18" s="2" t="s">
        <v>11</v>
      </c>
      <c r="Q18" s="3" t="s">
        <v>12</v>
      </c>
      <c r="R18" s="1" t="s">
        <v>13</v>
      </c>
      <c r="S18" s="4" t="s">
        <v>14</v>
      </c>
      <c r="T18" s="2" t="s">
        <v>15</v>
      </c>
      <c r="U18" s="3" t="s">
        <v>16</v>
      </c>
      <c r="V18" t="s">
        <v>17</v>
      </c>
      <c r="W18" s="4" t="s">
        <v>18</v>
      </c>
      <c r="X18" s="2" t="s">
        <v>19</v>
      </c>
      <c r="Y18" s="3" t="s">
        <v>20</v>
      </c>
      <c r="Z18" s="6" t="s">
        <v>21</v>
      </c>
      <c r="AA18" s="1" t="s">
        <v>10</v>
      </c>
    </row>
    <row r="19" spans="1:27" x14ac:dyDescent="0.2">
      <c r="A19" t="s">
        <v>23</v>
      </c>
      <c r="B19" s="2" t="s">
        <v>184</v>
      </c>
      <c r="C19" s="3" t="s">
        <v>2</v>
      </c>
      <c r="D19" s="4" t="s">
        <v>3</v>
      </c>
      <c r="E19" s="5" t="s">
        <v>4</v>
      </c>
      <c r="F19" s="1" t="s">
        <v>5</v>
      </c>
      <c r="G19" s="2" t="s">
        <v>185</v>
      </c>
      <c r="H19" s="3" t="s">
        <v>6</v>
      </c>
      <c r="I19" s="4" t="s">
        <v>7</v>
      </c>
      <c r="J19" s="5" t="s">
        <v>8</v>
      </c>
      <c r="K19" s="1" t="s">
        <v>9</v>
      </c>
      <c r="L19" s="3" t="s">
        <v>24</v>
      </c>
      <c r="M19" s="1" t="s">
        <v>10</v>
      </c>
      <c r="O19" t="s">
        <v>23</v>
      </c>
      <c r="P19" s="2" t="s">
        <v>11</v>
      </c>
      <c r="Q19" s="3" t="s">
        <v>12</v>
      </c>
      <c r="R19" s="1" t="s">
        <v>13</v>
      </c>
      <c r="S19" s="4" t="s">
        <v>14</v>
      </c>
      <c r="T19" s="2" t="s">
        <v>15</v>
      </c>
      <c r="U19" s="3" t="s">
        <v>16</v>
      </c>
      <c r="V19" t="s">
        <v>17</v>
      </c>
      <c r="W19" s="4" t="s">
        <v>18</v>
      </c>
      <c r="X19" s="2" t="s">
        <v>19</v>
      </c>
      <c r="Y19" s="3" t="s">
        <v>20</v>
      </c>
      <c r="Z19" s="6" t="s">
        <v>21</v>
      </c>
      <c r="AA19" s="1" t="s">
        <v>10</v>
      </c>
    </row>
    <row r="20" spans="1:27" x14ac:dyDescent="0.2">
      <c r="A20" t="s">
        <v>25</v>
      </c>
      <c r="B20" s="2" t="s">
        <v>184</v>
      </c>
      <c r="C20" s="3" t="s">
        <v>2</v>
      </c>
      <c r="D20" s="4" t="s">
        <v>3</v>
      </c>
      <c r="E20" s="5" t="s">
        <v>4</v>
      </c>
      <c r="F20" s="1" t="s">
        <v>5</v>
      </c>
      <c r="G20" s="2" t="s">
        <v>185</v>
      </c>
      <c r="H20" s="3" t="s">
        <v>6</v>
      </c>
      <c r="I20" s="4" t="s">
        <v>7</v>
      </c>
      <c r="J20" s="5" t="s">
        <v>8</v>
      </c>
      <c r="K20" s="1" t="s">
        <v>9</v>
      </c>
      <c r="L20" s="3" t="s">
        <v>24</v>
      </c>
      <c r="M20" s="1" t="s">
        <v>10</v>
      </c>
      <c r="O20" t="s">
        <v>25</v>
      </c>
      <c r="P20" s="2" t="s">
        <v>11</v>
      </c>
      <c r="Q20" s="3" t="s">
        <v>12</v>
      </c>
      <c r="R20" s="1" t="s">
        <v>13</v>
      </c>
      <c r="S20" s="4" t="s">
        <v>14</v>
      </c>
      <c r="T20" s="2" t="s">
        <v>15</v>
      </c>
      <c r="U20" s="3" t="s">
        <v>16</v>
      </c>
      <c r="V20" t="s">
        <v>17</v>
      </c>
      <c r="W20" s="4" t="s">
        <v>18</v>
      </c>
      <c r="X20" s="2" t="s">
        <v>19</v>
      </c>
      <c r="Y20" s="3" t="s">
        <v>20</v>
      </c>
      <c r="Z20" s="6" t="s">
        <v>21</v>
      </c>
      <c r="AA20" s="1" t="s">
        <v>10</v>
      </c>
    </row>
    <row r="21" spans="1:27" x14ac:dyDescent="0.2">
      <c r="A21" t="s">
        <v>26</v>
      </c>
      <c r="B21" s="2" t="s">
        <v>184</v>
      </c>
      <c r="C21" s="3" t="s">
        <v>2</v>
      </c>
      <c r="D21" s="4" t="s">
        <v>3</v>
      </c>
      <c r="E21" s="5" t="s">
        <v>4</v>
      </c>
      <c r="F21" s="1" t="s">
        <v>5</v>
      </c>
      <c r="G21" s="2" t="s">
        <v>185</v>
      </c>
      <c r="H21" s="3" t="s">
        <v>6</v>
      </c>
      <c r="I21" s="4" t="s">
        <v>7</v>
      </c>
      <c r="J21" s="5" t="s">
        <v>8</v>
      </c>
      <c r="K21" s="1" t="s">
        <v>9</v>
      </c>
      <c r="L21" s="7" t="s">
        <v>27</v>
      </c>
      <c r="M21" s="1" t="s">
        <v>10</v>
      </c>
      <c r="O21" t="s">
        <v>26</v>
      </c>
      <c r="P21" s="2" t="s">
        <v>11</v>
      </c>
      <c r="Q21" s="3" t="s">
        <v>12</v>
      </c>
      <c r="R21" s="1" t="s">
        <v>13</v>
      </c>
      <c r="S21" s="4" t="s">
        <v>14</v>
      </c>
      <c r="T21" s="2" t="s">
        <v>15</v>
      </c>
      <c r="U21" s="3" t="s">
        <v>16</v>
      </c>
      <c r="V21" t="s">
        <v>17</v>
      </c>
      <c r="W21" s="4" t="s">
        <v>18</v>
      </c>
      <c r="X21" s="2" t="s">
        <v>19</v>
      </c>
      <c r="Y21" s="3" t="s">
        <v>20</v>
      </c>
      <c r="Z21" s="6" t="s">
        <v>21</v>
      </c>
      <c r="AA21" s="1" t="s">
        <v>10</v>
      </c>
    </row>
    <row r="22" spans="1:27" x14ac:dyDescent="0.2">
      <c r="A22" t="s">
        <v>28</v>
      </c>
      <c r="B22" s="2" t="s">
        <v>184</v>
      </c>
      <c r="C22" s="3" t="s">
        <v>2</v>
      </c>
      <c r="D22" s="4" t="s">
        <v>3</v>
      </c>
      <c r="E22" s="5" t="s">
        <v>4</v>
      </c>
      <c r="F22" s="1" t="s">
        <v>5</v>
      </c>
      <c r="G22" s="2" t="s">
        <v>185</v>
      </c>
      <c r="H22" s="3" t="s">
        <v>6</v>
      </c>
      <c r="I22" s="4" t="s">
        <v>7</v>
      </c>
      <c r="J22" s="5" t="s">
        <v>8</v>
      </c>
      <c r="K22" s="1" t="s">
        <v>9</v>
      </c>
      <c r="L22" s="7" t="s">
        <v>27</v>
      </c>
      <c r="M22" s="1" t="s">
        <v>10</v>
      </c>
      <c r="O22" t="s">
        <v>28</v>
      </c>
      <c r="P22" s="2" t="s">
        <v>11</v>
      </c>
      <c r="Q22" s="3" t="s">
        <v>12</v>
      </c>
      <c r="R22" s="1" t="s">
        <v>13</v>
      </c>
      <c r="S22" s="4" t="s">
        <v>14</v>
      </c>
      <c r="T22" s="2" t="s">
        <v>15</v>
      </c>
      <c r="U22" s="3" t="s">
        <v>16</v>
      </c>
      <c r="V22" t="s">
        <v>17</v>
      </c>
      <c r="W22" s="4" t="s">
        <v>18</v>
      </c>
      <c r="X22" s="2" t="s">
        <v>19</v>
      </c>
      <c r="Y22" s="3" t="s">
        <v>20</v>
      </c>
      <c r="Z22" s="6" t="s">
        <v>21</v>
      </c>
      <c r="AA22" s="1" t="s">
        <v>10</v>
      </c>
    </row>
    <row r="23" spans="1:27" x14ac:dyDescent="0.2">
      <c r="A23" t="s">
        <v>29</v>
      </c>
      <c r="B23" s="2" t="s">
        <v>184</v>
      </c>
      <c r="C23" s="3" t="s">
        <v>2</v>
      </c>
      <c r="D23" s="4" t="s">
        <v>3</v>
      </c>
      <c r="E23" s="5" t="s">
        <v>4</v>
      </c>
      <c r="F23" s="1" t="s">
        <v>5</v>
      </c>
      <c r="G23" s="2" t="s">
        <v>185</v>
      </c>
      <c r="H23" s="3" t="s">
        <v>6</v>
      </c>
      <c r="I23" s="4" t="s">
        <v>7</v>
      </c>
      <c r="J23" s="5" t="s">
        <v>8</v>
      </c>
      <c r="K23" s="1" t="s">
        <v>9</v>
      </c>
      <c r="L23" s="8" t="s">
        <v>30</v>
      </c>
      <c r="M23" s="1" t="s">
        <v>10</v>
      </c>
      <c r="O23" t="s">
        <v>29</v>
      </c>
      <c r="P23" s="2" t="s">
        <v>11</v>
      </c>
      <c r="Q23" s="3" t="s">
        <v>12</v>
      </c>
      <c r="R23" s="1" t="s">
        <v>13</v>
      </c>
      <c r="S23" s="4" t="s">
        <v>14</v>
      </c>
      <c r="T23" s="2" t="s">
        <v>15</v>
      </c>
      <c r="U23" s="3" t="s">
        <v>16</v>
      </c>
      <c r="V23" t="s">
        <v>17</v>
      </c>
      <c r="W23" s="4" t="s">
        <v>18</v>
      </c>
      <c r="X23" s="2" t="s">
        <v>19</v>
      </c>
      <c r="Y23" s="3" t="s">
        <v>20</v>
      </c>
      <c r="Z23" s="6" t="s">
        <v>21</v>
      </c>
      <c r="AA23" s="1" t="s">
        <v>10</v>
      </c>
    </row>
    <row r="24" spans="1:27" x14ac:dyDescent="0.2">
      <c r="A24" t="s">
        <v>31</v>
      </c>
      <c r="B24" s="2" t="s">
        <v>184</v>
      </c>
      <c r="C24" s="3" t="s">
        <v>2</v>
      </c>
      <c r="D24" s="4" t="s">
        <v>3</v>
      </c>
      <c r="E24" s="5" t="s">
        <v>4</v>
      </c>
      <c r="F24" s="1" t="s">
        <v>5</v>
      </c>
      <c r="G24" s="2" t="s">
        <v>185</v>
      </c>
      <c r="H24" s="3" t="s">
        <v>6</v>
      </c>
      <c r="I24" s="4" t="s">
        <v>7</v>
      </c>
      <c r="J24" s="5" t="s">
        <v>8</v>
      </c>
      <c r="K24" s="1" t="s">
        <v>9</v>
      </c>
      <c r="L24" s="8" t="s">
        <v>32</v>
      </c>
      <c r="M24" s="1" t="s">
        <v>10</v>
      </c>
      <c r="O24" t="s">
        <v>31</v>
      </c>
      <c r="P24" s="2" t="s">
        <v>11</v>
      </c>
      <c r="Q24" s="3" t="s">
        <v>12</v>
      </c>
      <c r="R24" s="1" t="s">
        <v>13</v>
      </c>
      <c r="S24" s="4" t="s">
        <v>14</v>
      </c>
      <c r="T24" s="2" t="s">
        <v>15</v>
      </c>
      <c r="U24" s="3" t="s">
        <v>16</v>
      </c>
      <c r="V24" t="s">
        <v>17</v>
      </c>
      <c r="W24" s="4" t="s">
        <v>18</v>
      </c>
      <c r="X24" s="2" t="s">
        <v>19</v>
      </c>
      <c r="Y24" s="3" t="s">
        <v>20</v>
      </c>
      <c r="Z24" s="6" t="s">
        <v>21</v>
      </c>
      <c r="AA24" s="1" t="s">
        <v>10</v>
      </c>
    </row>
    <row r="27" spans="1:27" x14ac:dyDescent="0.2">
      <c r="A27" t="s">
        <v>33</v>
      </c>
    </row>
    <row r="28" spans="1:27" x14ac:dyDescent="0.2">
      <c r="B28" s="1">
        <v>1</v>
      </c>
      <c r="C28" s="1">
        <v>2</v>
      </c>
      <c r="D28" s="1">
        <v>3</v>
      </c>
      <c r="E28" s="1">
        <v>4</v>
      </c>
      <c r="F28" s="1">
        <v>5</v>
      </c>
      <c r="G28" s="1">
        <v>6</v>
      </c>
      <c r="H28" s="1">
        <v>7</v>
      </c>
      <c r="I28" s="1">
        <v>8</v>
      </c>
      <c r="J28" s="1">
        <v>9</v>
      </c>
      <c r="K28" s="1">
        <v>10</v>
      </c>
      <c r="L28" s="1">
        <v>11</v>
      </c>
      <c r="M28" s="1">
        <v>12</v>
      </c>
      <c r="P28" s="1">
        <v>1</v>
      </c>
      <c r="Q28" s="1">
        <v>2</v>
      </c>
      <c r="R28" s="1">
        <v>3</v>
      </c>
      <c r="S28" s="1">
        <v>4</v>
      </c>
      <c r="T28" s="1">
        <v>5</v>
      </c>
      <c r="U28" s="1">
        <v>6</v>
      </c>
      <c r="V28" s="1">
        <v>7</v>
      </c>
      <c r="W28" s="1">
        <v>8</v>
      </c>
      <c r="X28" s="1">
        <v>9</v>
      </c>
      <c r="Y28" s="1">
        <v>10</v>
      </c>
      <c r="Z28" s="1">
        <v>11</v>
      </c>
      <c r="AA28" s="1">
        <v>12</v>
      </c>
    </row>
    <row r="29" spans="1:27" x14ac:dyDescent="0.2">
      <c r="A29" t="s">
        <v>1</v>
      </c>
      <c r="B29" s="2" t="s">
        <v>187</v>
      </c>
      <c r="C29" s="3" t="s">
        <v>34</v>
      </c>
      <c r="D29" s="4" t="s">
        <v>35</v>
      </c>
      <c r="E29" s="5" t="s">
        <v>36</v>
      </c>
      <c r="F29" s="1" t="s">
        <v>37</v>
      </c>
      <c r="G29" s="2" t="s">
        <v>188</v>
      </c>
      <c r="H29" s="3" t="s">
        <v>38</v>
      </c>
      <c r="I29" s="4" t="s">
        <v>39</v>
      </c>
      <c r="J29" s="5" t="s">
        <v>40</v>
      </c>
      <c r="K29" s="1" t="s">
        <v>41</v>
      </c>
      <c r="L29" s="2" t="s">
        <v>186</v>
      </c>
      <c r="M29" s="1" t="s">
        <v>10</v>
      </c>
      <c r="O29" t="s">
        <v>1</v>
      </c>
      <c r="P29" s="2" t="s">
        <v>11</v>
      </c>
      <c r="Q29" s="3" t="s">
        <v>12</v>
      </c>
      <c r="R29" s="1" t="s">
        <v>13</v>
      </c>
      <c r="S29" s="4" t="s">
        <v>14</v>
      </c>
      <c r="T29" s="2" t="s">
        <v>15</v>
      </c>
      <c r="U29" s="3" t="s">
        <v>16</v>
      </c>
      <c r="V29" t="s">
        <v>17</v>
      </c>
      <c r="W29" s="4" t="s">
        <v>18</v>
      </c>
      <c r="X29" s="2" t="s">
        <v>19</v>
      </c>
      <c r="Y29" s="3" t="s">
        <v>20</v>
      </c>
      <c r="Z29" s="6" t="s">
        <v>21</v>
      </c>
      <c r="AA29" s="1" t="s">
        <v>10</v>
      </c>
    </row>
    <row r="30" spans="1:27" x14ac:dyDescent="0.2">
      <c r="A30" t="s">
        <v>22</v>
      </c>
      <c r="B30" s="2" t="s">
        <v>187</v>
      </c>
      <c r="C30" s="3" t="s">
        <v>34</v>
      </c>
      <c r="D30" s="4" t="s">
        <v>35</v>
      </c>
      <c r="E30" s="5" t="s">
        <v>36</v>
      </c>
      <c r="F30" s="1" t="s">
        <v>37</v>
      </c>
      <c r="G30" s="2" t="s">
        <v>188</v>
      </c>
      <c r="H30" s="3" t="s">
        <v>38</v>
      </c>
      <c r="I30" s="4" t="s">
        <v>39</v>
      </c>
      <c r="J30" s="5" t="s">
        <v>40</v>
      </c>
      <c r="K30" s="1" t="s">
        <v>41</v>
      </c>
      <c r="L30" s="2" t="s">
        <v>186</v>
      </c>
      <c r="M30" s="1" t="s">
        <v>10</v>
      </c>
      <c r="O30" t="s">
        <v>22</v>
      </c>
      <c r="P30" s="2" t="s">
        <v>11</v>
      </c>
      <c r="Q30" s="3" t="s">
        <v>12</v>
      </c>
      <c r="R30" s="1" t="s">
        <v>13</v>
      </c>
      <c r="S30" s="4" t="s">
        <v>14</v>
      </c>
      <c r="T30" s="2" t="s">
        <v>15</v>
      </c>
      <c r="U30" s="3" t="s">
        <v>16</v>
      </c>
      <c r="V30" t="s">
        <v>17</v>
      </c>
      <c r="W30" s="4" t="s">
        <v>18</v>
      </c>
      <c r="X30" s="2" t="s">
        <v>19</v>
      </c>
      <c r="Y30" s="3" t="s">
        <v>20</v>
      </c>
      <c r="Z30" s="6" t="s">
        <v>21</v>
      </c>
      <c r="AA30" s="1" t="s">
        <v>10</v>
      </c>
    </row>
    <row r="31" spans="1:27" x14ac:dyDescent="0.2">
      <c r="A31" t="s">
        <v>23</v>
      </c>
      <c r="B31" s="2" t="s">
        <v>187</v>
      </c>
      <c r="C31" s="3" t="s">
        <v>34</v>
      </c>
      <c r="D31" s="4" t="s">
        <v>35</v>
      </c>
      <c r="E31" s="5" t="s">
        <v>36</v>
      </c>
      <c r="F31" s="1" t="s">
        <v>37</v>
      </c>
      <c r="G31" s="2" t="s">
        <v>188</v>
      </c>
      <c r="H31" s="3" t="s">
        <v>38</v>
      </c>
      <c r="I31" s="4" t="s">
        <v>39</v>
      </c>
      <c r="J31" s="5" t="s">
        <v>40</v>
      </c>
      <c r="K31" s="1" t="s">
        <v>41</v>
      </c>
      <c r="L31" s="3" t="s">
        <v>24</v>
      </c>
      <c r="M31" s="1" t="s">
        <v>10</v>
      </c>
      <c r="O31" t="s">
        <v>23</v>
      </c>
      <c r="P31" s="2" t="s">
        <v>11</v>
      </c>
      <c r="Q31" s="3" t="s">
        <v>12</v>
      </c>
      <c r="R31" s="1" t="s">
        <v>13</v>
      </c>
      <c r="S31" s="4" t="s">
        <v>14</v>
      </c>
      <c r="T31" s="2" t="s">
        <v>15</v>
      </c>
      <c r="U31" s="3" t="s">
        <v>16</v>
      </c>
      <c r="V31" t="s">
        <v>17</v>
      </c>
      <c r="W31" s="4" t="s">
        <v>18</v>
      </c>
      <c r="X31" s="2" t="s">
        <v>19</v>
      </c>
      <c r="Y31" s="3" t="s">
        <v>20</v>
      </c>
      <c r="Z31" s="6" t="s">
        <v>21</v>
      </c>
      <c r="AA31" s="1" t="s">
        <v>10</v>
      </c>
    </row>
    <row r="32" spans="1:27" x14ac:dyDescent="0.2">
      <c r="A32" t="s">
        <v>25</v>
      </c>
      <c r="B32" s="2" t="s">
        <v>187</v>
      </c>
      <c r="C32" s="3" t="s">
        <v>34</v>
      </c>
      <c r="D32" s="4" t="s">
        <v>35</v>
      </c>
      <c r="E32" s="5" t="s">
        <v>36</v>
      </c>
      <c r="F32" s="1" t="s">
        <v>37</v>
      </c>
      <c r="G32" s="2" t="s">
        <v>188</v>
      </c>
      <c r="H32" s="3" t="s">
        <v>38</v>
      </c>
      <c r="I32" s="4" t="s">
        <v>39</v>
      </c>
      <c r="J32" s="5" t="s">
        <v>40</v>
      </c>
      <c r="K32" s="1" t="s">
        <v>41</v>
      </c>
      <c r="L32" s="3" t="s">
        <v>24</v>
      </c>
      <c r="M32" s="1" t="s">
        <v>10</v>
      </c>
      <c r="O32" t="s">
        <v>25</v>
      </c>
      <c r="P32" s="2" t="s">
        <v>11</v>
      </c>
      <c r="Q32" s="3" t="s">
        <v>12</v>
      </c>
      <c r="R32" s="1" t="s">
        <v>13</v>
      </c>
      <c r="S32" s="4" t="s">
        <v>14</v>
      </c>
      <c r="T32" s="2" t="s">
        <v>15</v>
      </c>
      <c r="U32" s="3" t="s">
        <v>16</v>
      </c>
      <c r="V32" t="s">
        <v>17</v>
      </c>
      <c r="W32" s="4" t="s">
        <v>18</v>
      </c>
      <c r="X32" s="2" t="s">
        <v>19</v>
      </c>
      <c r="Y32" s="3" t="s">
        <v>20</v>
      </c>
      <c r="Z32" s="6" t="s">
        <v>21</v>
      </c>
      <c r="AA32" s="1" t="s">
        <v>10</v>
      </c>
    </row>
    <row r="33" spans="1:27" x14ac:dyDescent="0.2">
      <c r="A33" t="s">
        <v>26</v>
      </c>
      <c r="B33" s="2" t="s">
        <v>187</v>
      </c>
      <c r="C33" s="3" t="s">
        <v>34</v>
      </c>
      <c r="D33" s="4" t="s">
        <v>35</v>
      </c>
      <c r="E33" s="5" t="s">
        <v>36</v>
      </c>
      <c r="F33" s="1" t="s">
        <v>37</v>
      </c>
      <c r="G33" s="2" t="s">
        <v>188</v>
      </c>
      <c r="H33" s="3" t="s">
        <v>38</v>
      </c>
      <c r="I33" s="4" t="s">
        <v>39</v>
      </c>
      <c r="J33" s="5" t="s">
        <v>40</v>
      </c>
      <c r="K33" s="1" t="s">
        <v>41</v>
      </c>
      <c r="L33" s="7" t="s">
        <v>27</v>
      </c>
      <c r="M33" s="1" t="s">
        <v>10</v>
      </c>
      <c r="O33" t="s">
        <v>26</v>
      </c>
      <c r="P33" s="2" t="s">
        <v>11</v>
      </c>
      <c r="Q33" s="3" t="s">
        <v>12</v>
      </c>
      <c r="R33" s="1" t="s">
        <v>13</v>
      </c>
      <c r="S33" s="4" t="s">
        <v>14</v>
      </c>
      <c r="T33" s="2" t="s">
        <v>15</v>
      </c>
      <c r="U33" s="3" t="s">
        <v>16</v>
      </c>
      <c r="V33" t="s">
        <v>17</v>
      </c>
      <c r="W33" s="4" t="s">
        <v>18</v>
      </c>
      <c r="X33" s="2" t="s">
        <v>19</v>
      </c>
      <c r="Y33" s="3" t="s">
        <v>20</v>
      </c>
      <c r="Z33" s="6" t="s">
        <v>21</v>
      </c>
      <c r="AA33" s="1" t="s">
        <v>10</v>
      </c>
    </row>
    <row r="34" spans="1:27" x14ac:dyDescent="0.2">
      <c r="A34" t="s">
        <v>28</v>
      </c>
      <c r="B34" s="2" t="s">
        <v>187</v>
      </c>
      <c r="C34" s="3" t="s">
        <v>34</v>
      </c>
      <c r="D34" s="4" t="s">
        <v>35</v>
      </c>
      <c r="E34" s="5" t="s">
        <v>36</v>
      </c>
      <c r="F34" s="1" t="s">
        <v>37</v>
      </c>
      <c r="G34" s="2" t="s">
        <v>188</v>
      </c>
      <c r="H34" s="3" t="s">
        <v>38</v>
      </c>
      <c r="I34" s="4" t="s">
        <v>39</v>
      </c>
      <c r="J34" s="5" t="s">
        <v>40</v>
      </c>
      <c r="K34" s="1" t="s">
        <v>41</v>
      </c>
      <c r="L34" s="7" t="s">
        <v>27</v>
      </c>
      <c r="M34" s="1" t="s">
        <v>10</v>
      </c>
      <c r="O34" t="s">
        <v>28</v>
      </c>
      <c r="P34" s="2" t="s">
        <v>11</v>
      </c>
      <c r="Q34" s="3" t="s">
        <v>12</v>
      </c>
      <c r="R34" s="1" t="s">
        <v>13</v>
      </c>
      <c r="S34" s="4" t="s">
        <v>14</v>
      </c>
      <c r="T34" s="2" t="s">
        <v>15</v>
      </c>
      <c r="U34" s="3" t="s">
        <v>16</v>
      </c>
      <c r="V34" t="s">
        <v>17</v>
      </c>
      <c r="W34" s="4" t="s">
        <v>18</v>
      </c>
      <c r="X34" s="2" t="s">
        <v>19</v>
      </c>
      <c r="Y34" s="3" t="s">
        <v>20</v>
      </c>
      <c r="Z34" s="6" t="s">
        <v>21</v>
      </c>
      <c r="AA34" s="1" t="s">
        <v>10</v>
      </c>
    </row>
    <row r="35" spans="1:27" x14ac:dyDescent="0.2">
      <c r="A35" t="s">
        <v>29</v>
      </c>
      <c r="B35" s="2" t="s">
        <v>187</v>
      </c>
      <c r="C35" s="3" t="s">
        <v>34</v>
      </c>
      <c r="D35" s="4" t="s">
        <v>35</v>
      </c>
      <c r="E35" s="5" t="s">
        <v>36</v>
      </c>
      <c r="F35" s="1" t="s">
        <v>37</v>
      </c>
      <c r="G35" s="2" t="s">
        <v>188</v>
      </c>
      <c r="H35" s="3" t="s">
        <v>38</v>
      </c>
      <c r="I35" s="4" t="s">
        <v>39</v>
      </c>
      <c r="J35" s="5" t="s">
        <v>40</v>
      </c>
      <c r="K35" s="1" t="s">
        <v>41</v>
      </c>
      <c r="L35" s="8" t="s">
        <v>30</v>
      </c>
      <c r="M35" s="1" t="s">
        <v>10</v>
      </c>
      <c r="O35" t="s">
        <v>29</v>
      </c>
      <c r="P35" s="2" t="s">
        <v>11</v>
      </c>
      <c r="Q35" s="3" t="s">
        <v>12</v>
      </c>
      <c r="R35" s="1" t="s">
        <v>13</v>
      </c>
      <c r="S35" s="4" t="s">
        <v>14</v>
      </c>
      <c r="T35" s="2" t="s">
        <v>15</v>
      </c>
      <c r="U35" s="3" t="s">
        <v>16</v>
      </c>
      <c r="V35" t="s">
        <v>17</v>
      </c>
      <c r="W35" s="4" t="s">
        <v>18</v>
      </c>
      <c r="X35" s="2" t="s">
        <v>19</v>
      </c>
      <c r="Y35" s="3" t="s">
        <v>20</v>
      </c>
      <c r="Z35" s="6" t="s">
        <v>21</v>
      </c>
      <c r="AA35" s="1" t="s">
        <v>10</v>
      </c>
    </row>
    <row r="36" spans="1:27" x14ac:dyDescent="0.2">
      <c r="A36" t="s">
        <v>31</v>
      </c>
      <c r="B36" s="2" t="s">
        <v>187</v>
      </c>
      <c r="C36" s="3" t="s">
        <v>34</v>
      </c>
      <c r="D36" s="4" t="s">
        <v>35</v>
      </c>
      <c r="E36" s="5" t="s">
        <v>36</v>
      </c>
      <c r="F36" s="1" t="s">
        <v>37</v>
      </c>
      <c r="G36" s="2" t="s">
        <v>188</v>
      </c>
      <c r="H36" s="3" t="s">
        <v>38</v>
      </c>
      <c r="I36" s="4" t="s">
        <v>39</v>
      </c>
      <c r="J36" s="5" t="s">
        <v>40</v>
      </c>
      <c r="K36" s="1" t="s">
        <v>41</v>
      </c>
      <c r="L36" s="8" t="s">
        <v>32</v>
      </c>
      <c r="M36" s="1" t="s">
        <v>10</v>
      </c>
      <c r="O36" t="s">
        <v>31</v>
      </c>
      <c r="P36" s="2" t="s">
        <v>11</v>
      </c>
      <c r="Q36" s="3" t="s">
        <v>12</v>
      </c>
      <c r="R36" s="1" t="s">
        <v>13</v>
      </c>
      <c r="S36" s="4" t="s">
        <v>14</v>
      </c>
      <c r="T36" s="2" t="s">
        <v>15</v>
      </c>
      <c r="U36" s="3" t="s">
        <v>16</v>
      </c>
      <c r="V36" t="s">
        <v>17</v>
      </c>
      <c r="W36" s="4" t="s">
        <v>18</v>
      </c>
      <c r="X36" s="2" t="s">
        <v>19</v>
      </c>
      <c r="Y36" s="3" t="s">
        <v>20</v>
      </c>
      <c r="Z36" s="6" t="s">
        <v>21</v>
      </c>
      <c r="AA36" s="1" t="s">
        <v>10</v>
      </c>
    </row>
    <row r="39" spans="1:27" x14ac:dyDescent="0.2">
      <c r="A39" t="s">
        <v>42</v>
      </c>
    </row>
    <row r="40" spans="1:27" x14ac:dyDescent="0.2">
      <c r="B40" s="1">
        <v>1</v>
      </c>
      <c r="C40" s="1">
        <v>2</v>
      </c>
      <c r="D40" s="1">
        <v>3</v>
      </c>
      <c r="E40" s="1">
        <v>4</v>
      </c>
      <c r="F40" s="1">
        <v>5</v>
      </c>
      <c r="G40" s="1">
        <v>6</v>
      </c>
      <c r="H40" s="1">
        <v>7</v>
      </c>
      <c r="I40" s="1">
        <v>8</v>
      </c>
      <c r="J40" s="1">
        <v>9</v>
      </c>
      <c r="K40" s="1">
        <v>10</v>
      </c>
      <c r="L40" s="1">
        <v>11</v>
      </c>
      <c r="M40" s="1">
        <v>12</v>
      </c>
      <c r="P40" s="1">
        <v>1</v>
      </c>
      <c r="Q40" s="1">
        <v>2</v>
      </c>
      <c r="R40" s="1">
        <v>3</v>
      </c>
      <c r="S40" s="1">
        <v>4</v>
      </c>
      <c r="T40" s="1">
        <v>5</v>
      </c>
      <c r="U40" s="1">
        <v>6</v>
      </c>
      <c r="V40" s="1">
        <v>7</v>
      </c>
      <c r="W40" s="1">
        <v>8</v>
      </c>
      <c r="X40" s="1">
        <v>9</v>
      </c>
      <c r="Y40" s="1">
        <v>10</v>
      </c>
      <c r="Z40" s="1">
        <v>11</v>
      </c>
      <c r="AA40" s="1">
        <v>12</v>
      </c>
    </row>
    <row r="41" spans="1:27" x14ac:dyDescent="0.2">
      <c r="A41" t="s">
        <v>1</v>
      </c>
      <c r="B41" s="2" t="s">
        <v>189</v>
      </c>
      <c r="C41" s="3" t="s">
        <v>43</v>
      </c>
      <c r="D41" s="4" t="s">
        <v>44</v>
      </c>
      <c r="E41" s="5" t="s">
        <v>45</v>
      </c>
      <c r="F41" s="1" t="s">
        <v>46</v>
      </c>
      <c r="G41" s="2" t="s">
        <v>190</v>
      </c>
      <c r="H41" s="3" t="s">
        <v>47</v>
      </c>
      <c r="I41" s="4" t="s">
        <v>48</v>
      </c>
      <c r="J41" s="5" t="s">
        <v>49</v>
      </c>
      <c r="K41" s="1" t="s">
        <v>50</v>
      </c>
      <c r="L41" s="2" t="s">
        <v>186</v>
      </c>
      <c r="M41" s="1" t="s">
        <v>10</v>
      </c>
      <c r="O41" t="s">
        <v>1</v>
      </c>
      <c r="P41" s="2" t="s">
        <v>11</v>
      </c>
      <c r="Q41" s="3" t="s">
        <v>12</v>
      </c>
      <c r="R41" s="1" t="s">
        <v>13</v>
      </c>
      <c r="S41" s="4" t="s">
        <v>14</v>
      </c>
      <c r="T41" s="2" t="s">
        <v>15</v>
      </c>
      <c r="U41" s="3" t="s">
        <v>16</v>
      </c>
      <c r="V41" t="s">
        <v>17</v>
      </c>
      <c r="W41" s="4" t="s">
        <v>18</v>
      </c>
      <c r="X41" s="2" t="s">
        <v>19</v>
      </c>
      <c r="Y41" s="3" t="s">
        <v>20</v>
      </c>
      <c r="Z41" s="6" t="s">
        <v>21</v>
      </c>
      <c r="AA41" s="1" t="s">
        <v>10</v>
      </c>
    </row>
    <row r="42" spans="1:27" x14ac:dyDescent="0.2">
      <c r="A42" t="s">
        <v>22</v>
      </c>
      <c r="B42" s="2" t="s">
        <v>189</v>
      </c>
      <c r="C42" s="3" t="s">
        <v>43</v>
      </c>
      <c r="D42" s="4" t="s">
        <v>44</v>
      </c>
      <c r="E42" s="5" t="s">
        <v>45</v>
      </c>
      <c r="F42" s="1" t="s">
        <v>46</v>
      </c>
      <c r="G42" s="2" t="s">
        <v>190</v>
      </c>
      <c r="H42" s="3" t="s">
        <v>47</v>
      </c>
      <c r="I42" s="4" t="s">
        <v>48</v>
      </c>
      <c r="J42" s="5" t="s">
        <v>49</v>
      </c>
      <c r="K42" s="1" t="s">
        <v>50</v>
      </c>
      <c r="L42" s="2" t="s">
        <v>186</v>
      </c>
      <c r="M42" s="1" t="s">
        <v>10</v>
      </c>
      <c r="O42" t="s">
        <v>22</v>
      </c>
      <c r="P42" s="2" t="s">
        <v>11</v>
      </c>
      <c r="Q42" s="3" t="s">
        <v>12</v>
      </c>
      <c r="R42" s="1" t="s">
        <v>13</v>
      </c>
      <c r="S42" s="4" t="s">
        <v>14</v>
      </c>
      <c r="T42" s="2" t="s">
        <v>15</v>
      </c>
      <c r="U42" s="3" t="s">
        <v>16</v>
      </c>
      <c r="V42" t="s">
        <v>17</v>
      </c>
      <c r="W42" s="4" t="s">
        <v>18</v>
      </c>
      <c r="X42" s="2" t="s">
        <v>19</v>
      </c>
      <c r="Y42" s="3" t="s">
        <v>20</v>
      </c>
      <c r="Z42" s="6" t="s">
        <v>21</v>
      </c>
      <c r="AA42" s="1" t="s">
        <v>10</v>
      </c>
    </row>
    <row r="43" spans="1:27" x14ac:dyDescent="0.2">
      <c r="A43" t="s">
        <v>23</v>
      </c>
      <c r="B43" s="2" t="s">
        <v>189</v>
      </c>
      <c r="C43" s="3" t="s">
        <v>43</v>
      </c>
      <c r="D43" s="4" t="s">
        <v>44</v>
      </c>
      <c r="E43" s="5" t="s">
        <v>45</v>
      </c>
      <c r="F43" s="1" t="s">
        <v>46</v>
      </c>
      <c r="G43" s="2" t="s">
        <v>190</v>
      </c>
      <c r="H43" s="3" t="s">
        <v>47</v>
      </c>
      <c r="I43" s="4" t="s">
        <v>48</v>
      </c>
      <c r="J43" s="5" t="s">
        <v>49</v>
      </c>
      <c r="K43" s="1" t="s">
        <v>50</v>
      </c>
      <c r="L43" s="3" t="s">
        <v>24</v>
      </c>
      <c r="M43" s="1" t="s">
        <v>10</v>
      </c>
      <c r="O43" t="s">
        <v>23</v>
      </c>
      <c r="P43" s="2" t="s">
        <v>11</v>
      </c>
      <c r="Q43" s="3" t="s">
        <v>12</v>
      </c>
      <c r="R43" s="1" t="s">
        <v>13</v>
      </c>
      <c r="S43" s="4" t="s">
        <v>14</v>
      </c>
      <c r="T43" s="2" t="s">
        <v>15</v>
      </c>
      <c r="U43" s="3" t="s">
        <v>16</v>
      </c>
      <c r="V43" t="s">
        <v>17</v>
      </c>
      <c r="W43" s="4" t="s">
        <v>18</v>
      </c>
      <c r="X43" s="2" t="s">
        <v>19</v>
      </c>
      <c r="Y43" s="3" t="s">
        <v>20</v>
      </c>
      <c r="Z43" s="6" t="s">
        <v>21</v>
      </c>
      <c r="AA43" s="1" t="s">
        <v>10</v>
      </c>
    </row>
    <row r="44" spans="1:27" x14ac:dyDescent="0.2">
      <c r="A44" t="s">
        <v>25</v>
      </c>
      <c r="B44" s="2" t="s">
        <v>189</v>
      </c>
      <c r="C44" s="3" t="s">
        <v>43</v>
      </c>
      <c r="D44" s="4" t="s">
        <v>44</v>
      </c>
      <c r="E44" s="5" t="s">
        <v>45</v>
      </c>
      <c r="F44" s="1" t="s">
        <v>46</v>
      </c>
      <c r="G44" s="2" t="s">
        <v>190</v>
      </c>
      <c r="H44" s="3" t="s">
        <v>47</v>
      </c>
      <c r="I44" s="4" t="s">
        <v>48</v>
      </c>
      <c r="J44" s="5" t="s">
        <v>49</v>
      </c>
      <c r="K44" s="1" t="s">
        <v>50</v>
      </c>
      <c r="L44" s="3" t="s">
        <v>24</v>
      </c>
      <c r="M44" s="1" t="s">
        <v>10</v>
      </c>
      <c r="O44" t="s">
        <v>25</v>
      </c>
      <c r="P44" s="2" t="s">
        <v>11</v>
      </c>
      <c r="Q44" s="3" t="s">
        <v>12</v>
      </c>
      <c r="R44" s="1" t="s">
        <v>13</v>
      </c>
      <c r="S44" s="4" t="s">
        <v>14</v>
      </c>
      <c r="T44" s="2" t="s">
        <v>15</v>
      </c>
      <c r="U44" s="3" t="s">
        <v>16</v>
      </c>
      <c r="V44" t="s">
        <v>17</v>
      </c>
      <c r="W44" s="4" t="s">
        <v>18</v>
      </c>
      <c r="X44" s="2" t="s">
        <v>19</v>
      </c>
      <c r="Y44" s="3" t="s">
        <v>20</v>
      </c>
      <c r="Z44" s="6" t="s">
        <v>21</v>
      </c>
      <c r="AA44" s="1" t="s">
        <v>10</v>
      </c>
    </row>
    <row r="45" spans="1:27" x14ac:dyDescent="0.2">
      <c r="A45" t="s">
        <v>26</v>
      </c>
      <c r="B45" s="2" t="s">
        <v>189</v>
      </c>
      <c r="C45" s="3" t="s">
        <v>43</v>
      </c>
      <c r="D45" s="4" t="s">
        <v>44</v>
      </c>
      <c r="E45" s="5" t="s">
        <v>45</v>
      </c>
      <c r="F45" s="1" t="s">
        <v>46</v>
      </c>
      <c r="G45" s="2" t="s">
        <v>190</v>
      </c>
      <c r="H45" s="3" t="s">
        <v>47</v>
      </c>
      <c r="I45" s="4" t="s">
        <v>48</v>
      </c>
      <c r="J45" s="5" t="s">
        <v>49</v>
      </c>
      <c r="K45" s="1" t="s">
        <v>50</v>
      </c>
      <c r="L45" s="7" t="s">
        <v>27</v>
      </c>
      <c r="M45" s="1" t="s">
        <v>10</v>
      </c>
      <c r="O45" t="s">
        <v>26</v>
      </c>
      <c r="P45" s="2" t="s">
        <v>11</v>
      </c>
      <c r="Q45" s="3" t="s">
        <v>12</v>
      </c>
      <c r="R45" s="1" t="s">
        <v>13</v>
      </c>
      <c r="S45" s="4" t="s">
        <v>14</v>
      </c>
      <c r="T45" s="2" t="s">
        <v>15</v>
      </c>
      <c r="U45" s="3" t="s">
        <v>16</v>
      </c>
      <c r="V45" t="s">
        <v>17</v>
      </c>
      <c r="W45" s="4" t="s">
        <v>18</v>
      </c>
      <c r="X45" s="2" t="s">
        <v>19</v>
      </c>
      <c r="Y45" s="3" t="s">
        <v>20</v>
      </c>
      <c r="Z45" s="6" t="s">
        <v>21</v>
      </c>
      <c r="AA45" s="1" t="s">
        <v>10</v>
      </c>
    </row>
    <row r="46" spans="1:27" x14ac:dyDescent="0.2">
      <c r="A46" t="s">
        <v>28</v>
      </c>
      <c r="B46" s="2" t="s">
        <v>189</v>
      </c>
      <c r="C46" s="3" t="s">
        <v>43</v>
      </c>
      <c r="D46" s="4" t="s">
        <v>44</v>
      </c>
      <c r="E46" s="5" t="s">
        <v>45</v>
      </c>
      <c r="F46" s="1" t="s">
        <v>46</v>
      </c>
      <c r="G46" s="2" t="s">
        <v>190</v>
      </c>
      <c r="H46" s="3" t="s">
        <v>47</v>
      </c>
      <c r="I46" s="4" t="s">
        <v>48</v>
      </c>
      <c r="J46" s="5" t="s">
        <v>49</v>
      </c>
      <c r="K46" s="1" t="s">
        <v>50</v>
      </c>
      <c r="L46" s="7" t="s">
        <v>27</v>
      </c>
      <c r="M46" s="1" t="s">
        <v>10</v>
      </c>
      <c r="O46" t="s">
        <v>28</v>
      </c>
      <c r="P46" s="2" t="s">
        <v>11</v>
      </c>
      <c r="Q46" s="3" t="s">
        <v>12</v>
      </c>
      <c r="R46" s="1" t="s">
        <v>13</v>
      </c>
      <c r="S46" s="4" t="s">
        <v>14</v>
      </c>
      <c r="T46" s="2" t="s">
        <v>15</v>
      </c>
      <c r="U46" s="3" t="s">
        <v>16</v>
      </c>
      <c r="V46" t="s">
        <v>17</v>
      </c>
      <c r="W46" s="4" t="s">
        <v>18</v>
      </c>
      <c r="X46" s="2" t="s">
        <v>19</v>
      </c>
      <c r="Y46" s="3" t="s">
        <v>20</v>
      </c>
      <c r="Z46" s="6" t="s">
        <v>21</v>
      </c>
      <c r="AA46" s="1" t="s">
        <v>10</v>
      </c>
    </row>
    <row r="47" spans="1:27" x14ac:dyDescent="0.2">
      <c r="A47" t="s">
        <v>29</v>
      </c>
      <c r="B47" s="2" t="s">
        <v>189</v>
      </c>
      <c r="C47" s="3" t="s">
        <v>43</v>
      </c>
      <c r="D47" s="4" t="s">
        <v>44</v>
      </c>
      <c r="E47" s="5" t="s">
        <v>45</v>
      </c>
      <c r="F47" s="1" t="s">
        <v>46</v>
      </c>
      <c r="G47" s="2" t="s">
        <v>190</v>
      </c>
      <c r="H47" s="3" t="s">
        <v>47</v>
      </c>
      <c r="I47" s="4" t="s">
        <v>48</v>
      </c>
      <c r="J47" s="5" t="s">
        <v>49</v>
      </c>
      <c r="K47" s="1" t="s">
        <v>50</v>
      </c>
      <c r="L47" s="8" t="s">
        <v>30</v>
      </c>
      <c r="M47" s="1" t="s">
        <v>10</v>
      </c>
      <c r="O47" t="s">
        <v>29</v>
      </c>
      <c r="P47" s="2" t="s">
        <v>11</v>
      </c>
      <c r="Q47" s="3" t="s">
        <v>12</v>
      </c>
      <c r="R47" s="1" t="s">
        <v>13</v>
      </c>
      <c r="S47" s="4" t="s">
        <v>14</v>
      </c>
      <c r="T47" s="2" t="s">
        <v>15</v>
      </c>
      <c r="U47" s="3" t="s">
        <v>16</v>
      </c>
      <c r="V47" t="s">
        <v>17</v>
      </c>
      <c r="W47" s="4" t="s">
        <v>18</v>
      </c>
      <c r="X47" s="2" t="s">
        <v>19</v>
      </c>
      <c r="Y47" s="3" t="s">
        <v>20</v>
      </c>
      <c r="Z47" s="6" t="s">
        <v>21</v>
      </c>
      <c r="AA47" s="1" t="s">
        <v>10</v>
      </c>
    </row>
    <row r="48" spans="1:27" x14ac:dyDescent="0.2">
      <c r="A48" t="s">
        <v>31</v>
      </c>
      <c r="B48" s="2" t="s">
        <v>189</v>
      </c>
      <c r="C48" s="3" t="s">
        <v>43</v>
      </c>
      <c r="D48" s="4" t="s">
        <v>44</v>
      </c>
      <c r="E48" s="5" t="s">
        <v>45</v>
      </c>
      <c r="F48" s="1" t="s">
        <v>46</v>
      </c>
      <c r="G48" s="2" t="s">
        <v>190</v>
      </c>
      <c r="H48" s="3" t="s">
        <v>47</v>
      </c>
      <c r="I48" s="4" t="s">
        <v>48</v>
      </c>
      <c r="J48" s="5" t="s">
        <v>49</v>
      </c>
      <c r="K48" s="1" t="s">
        <v>50</v>
      </c>
      <c r="L48" s="8" t="s">
        <v>32</v>
      </c>
      <c r="M48" s="1" t="s">
        <v>10</v>
      </c>
      <c r="O48" t="s">
        <v>31</v>
      </c>
      <c r="P48" s="2" t="s">
        <v>11</v>
      </c>
      <c r="Q48" s="3" t="s">
        <v>12</v>
      </c>
      <c r="R48" s="1" t="s">
        <v>13</v>
      </c>
      <c r="S48" s="4" t="s">
        <v>14</v>
      </c>
      <c r="T48" s="2" t="s">
        <v>15</v>
      </c>
      <c r="U48" s="3" t="s">
        <v>16</v>
      </c>
      <c r="V48" t="s">
        <v>17</v>
      </c>
      <c r="W48" s="4" t="s">
        <v>18</v>
      </c>
      <c r="X48" s="2" t="s">
        <v>19</v>
      </c>
      <c r="Y48" s="3" t="s">
        <v>20</v>
      </c>
      <c r="Z48" s="6" t="s">
        <v>21</v>
      </c>
      <c r="AA48" s="1" t="s">
        <v>10</v>
      </c>
    </row>
    <row r="51" spans="1:27" x14ac:dyDescent="0.2">
      <c r="A51" t="s">
        <v>51</v>
      </c>
    </row>
    <row r="52" spans="1:27" x14ac:dyDescent="0.2">
      <c r="B52" s="1">
        <v>1</v>
      </c>
      <c r="C52" s="1">
        <v>2</v>
      </c>
      <c r="D52" s="1">
        <v>3</v>
      </c>
      <c r="E52" s="1">
        <v>4</v>
      </c>
      <c r="F52" s="1">
        <v>5</v>
      </c>
      <c r="G52" s="1">
        <v>6</v>
      </c>
      <c r="H52" s="1">
        <v>7</v>
      </c>
      <c r="I52" s="1">
        <v>8</v>
      </c>
      <c r="J52" s="1">
        <v>9</v>
      </c>
      <c r="K52" s="1">
        <v>10</v>
      </c>
      <c r="L52" s="1">
        <v>11</v>
      </c>
      <c r="M52" s="1">
        <v>12</v>
      </c>
      <c r="P52" s="1">
        <v>1</v>
      </c>
      <c r="Q52" s="1">
        <v>2</v>
      </c>
      <c r="R52" s="1">
        <v>3</v>
      </c>
      <c r="S52" s="1">
        <v>4</v>
      </c>
      <c r="T52" s="1">
        <v>5</v>
      </c>
      <c r="U52" s="1">
        <v>6</v>
      </c>
      <c r="V52" s="1">
        <v>7</v>
      </c>
      <c r="W52" s="1">
        <v>8</v>
      </c>
      <c r="X52" s="1">
        <v>9</v>
      </c>
      <c r="Y52" s="1">
        <v>10</v>
      </c>
      <c r="Z52" s="1">
        <v>11</v>
      </c>
      <c r="AA52" s="1">
        <v>12</v>
      </c>
    </row>
    <row r="53" spans="1:27" x14ac:dyDescent="0.2">
      <c r="A53" t="s">
        <v>1</v>
      </c>
      <c r="B53" s="2" t="s">
        <v>191</v>
      </c>
      <c r="C53" s="3" t="s">
        <v>52</v>
      </c>
      <c r="D53" s="4" t="s">
        <v>53</v>
      </c>
      <c r="E53" s="5" t="s">
        <v>54</v>
      </c>
      <c r="F53" s="1" t="s">
        <v>55</v>
      </c>
      <c r="G53" s="2" t="s">
        <v>192</v>
      </c>
      <c r="H53" s="3" t="s">
        <v>56</v>
      </c>
      <c r="I53" s="4" t="s">
        <v>57</v>
      </c>
      <c r="J53" s="5" t="s">
        <v>58</v>
      </c>
      <c r="K53" s="1" t="s">
        <v>59</v>
      </c>
      <c r="L53" s="2" t="s">
        <v>186</v>
      </c>
      <c r="M53" s="1" t="s">
        <v>10</v>
      </c>
      <c r="O53" t="s">
        <v>1</v>
      </c>
      <c r="P53" s="2" t="s">
        <v>11</v>
      </c>
      <c r="Q53" s="3" t="s">
        <v>12</v>
      </c>
      <c r="R53" s="1" t="s">
        <v>13</v>
      </c>
      <c r="S53" s="4" t="s">
        <v>14</v>
      </c>
      <c r="T53" s="2" t="s">
        <v>15</v>
      </c>
      <c r="U53" s="3" t="s">
        <v>16</v>
      </c>
      <c r="V53" t="s">
        <v>17</v>
      </c>
      <c r="W53" s="4" t="s">
        <v>18</v>
      </c>
      <c r="X53" s="2" t="s">
        <v>19</v>
      </c>
      <c r="Y53" s="3" t="s">
        <v>20</v>
      </c>
      <c r="Z53" s="6" t="s">
        <v>21</v>
      </c>
      <c r="AA53" s="1" t="s">
        <v>10</v>
      </c>
    </row>
    <row r="54" spans="1:27" x14ac:dyDescent="0.2">
      <c r="A54" t="s">
        <v>22</v>
      </c>
      <c r="B54" s="2" t="s">
        <v>191</v>
      </c>
      <c r="C54" s="3" t="s">
        <v>52</v>
      </c>
      <c r="D54" s="4" t="s">
        <v>53</v>
      </c>
      <c r="E54" s="5" t="s">
        <v>54</v>
      </c>
      <c r="F54" s="1" t="s">
        <v>55</v>
      </c>
      <c r="G54" s="2" t="s">
        <v>192</v>
      </c>
      <c r="H54" s="3" t="s">
        <v>56</v>
      </c>
      <c r="I54" s="4" t="s">
        <v>57</v>
      </c>
      <c r="J54" s="5" t="s">
        <v>58</v>
      </c>
      <c r="K54" s="1" t="s">
        <v>59</v>
      </c>
      <c r="L54" s="2" t="s">
        <v>186</v>
      </c>
      <c r="M54" s="1" t="s">
        <v>10</v>
      </c>
      <c r="O54" t="s">
        <v>22</v>
      </c>
      <c r="P54" s="2" t="s">
        <v>11</v>
      </c>
      <c r="Q54" s="3" t="s">
        <v>12</v>
      </c>
      <c r="R54" s="1" t="s">
        <v>13</v>
      </c>
      <c r="S54" s="4" t="s">
        <v>14</v>
      </c>
      <c r="T54" s="2" t="s">
        <v>15</v>
      </c>
      <c r="U54" s="3" t="s">
        <v>16</v>
      </c>
      <c r="V54" t="s">
        <v>17</v>
      </c>
      <c r="W54" s="4" t="s">
        <v>18</v>
      </c>
      <c r="X54" s="2" t="s">
        <v>19</v>
      </c>
      <c r="Y54" s="3" t="s">
        <v>20</v>
      </c>
      <c r="Z54" s="6" t="s">
        <v>21</v>
      </c>
      <c r="AA54" s="1" t="s">
        <v>10</v>
      </c>
    </row>
    <row r="55" spans="1:27" x14ac:dyDescent="0.2">
      <c r="A55" t="s">
        <v>23</v>
      </c>
      <c r="B55" s="2" t="s">
        <v>191</v>
      </c>
      <c r="C55" s="3" t="s">
        <v>52</v>
      </c>
      <c r="D55" s="4" t="s">
        <v>53</v>
      </c>
      <c r="E55" s="5" t="s">
        <v>54</v>
      </c>
      <c r="F55" s="1" t="s">
        <v>55</v>
      </c>
      <c r="G55" s="2" t="s">
        <v>192</v>
      </c>
      <c r="H55" s="3" t="s">
        <v>56</v>
      </c>
      <c r="I55" s="4" t="s">
        <v>57</v>
      </c>
      <c r="J55" s="5" t="s">
        <v>58</v>
      </c>
      <c r="K55" s="1" t="s">
        <v>59</v>
      </c>
      <c r="L55" s="3" t="s">
        <v>24</v>
      </c>
      <c r="M55" s="1" t="s">
        <v>10</v>
      </c>
      <c r="O55" t="s">
        <v>23</v>
      </c>
      <c r="P55" s="2" t="s">
        <v>11</v>
      </c>
      <c r="Q55" s="3" t="s">
        <v>12</v>
      </c>
      <c r="R55" s="1" t="s">
        <v>13</v>
      </c>
      <c r="S55" s="4" t="s">
        <v>14</v>
      </c>
      <c r="T55" s="2" t="s">
        <v>15</v>
      </c>
      <c r="U55" s="3" t="s">
        <v>16</v>
      </c>
      <c r="V55" t="s">
        <v>17</v>
      </c>
      <c r="W55" s="4" t="s">
        <v>18</v>
      </c>
      <c r="X55" s="2" t="s">
        <v>19</v>
      </c>
      <c r="Y55" s="3" t="s">
        <v>20</v>
      </c>
      <c r="Z55" s="6" t="s">
        <v>21</v>
      </c>
      <c r="AA55" s="1" t="s">
        <v>10</v>
      </c>
    </row>
    <row r="56" spans="1:27" x14ac:dyDescent="0.2">
      <c r="A56" t="s">
        <v>25</v>
      </c>
      <c r="B56" s="2" t="s">
        <v>191</v>
      </c>
      <c r="C56" s="3" t="s">
        <v>52</v>
      </c>
      <c r="D56" s="4" t="s">
        <v>53</v>
      </c>
      <c r="E56" s="5" t="s">
        <v>54</v>
      </c>
      <c r="F56" s="1" t="s">
        <v>55</v>
      </c>
      <c r="G56" s="2" t="s">
        <v>192</v>
      </c>
      <c r="H56" s="3" t="s">
        <v>56</v>
      </c>
      <c r="I56" s="4" t="s">
        <v>57</v>
      </c>
      <c r="J56" s="5" t="s">
        <v>58</v>
      </c>
      <c r="K56" s="1" t="s">
        <v>59</v>
      </c>
      <c r="L56" s="3" t="s">
        <v>24</v>
      </c>
      <c r="M56" s="1" t="s">
        <v>10</v>
      </c>
      <c r="O56" t="s">
        <v>25</v>
      </c>
      <c r="P56" s="2" t="s">
        <v>11</v>
      </c>
      <c r="Q56" s="3" t="s">
        <v>12</v>
      </c>
      <c r="R56" s="1" t="s">
        <v>13</v>
      </c>
      <c r="S56" s="4" t="s">
        <v>14</v>
      </c>
      <c r="T56" s="2" t="s">
        <v>15</v>
      </c>
      <c r="U56" s="3" t="s">
        <v>16</v>
      </c>
      <c r="V56" t="s">
        <v>17</v>
      </c>
      <c r="W56" s="4" t="s">
        <v>18</v>
      </c>
      <c r="X56" s="2" t="s">
        <v>19</v>
      </c>
      <c r="Y56" s="3" t="s">
        <v>20</v>
      </c>
      <c r="Z56" s="6" t="s">
        <v>21</v>
      </c>
      <c r="AA56" s="1" t="s">
        <v>10</v>
      </c>
    </row>
    <row r="57" spans="1:27" x14ac:dyDescent="0.2">
      <c r="A57" t="s">
        <v>26</v>
      </c>
      <c r="B57" s="2" t="s">
        <v>191</v>
      </c>
      <c r="C57" s="3" t="s">
        <v>52</v>
      </c>
      <c r="D57" s="4" t="s">
        <v>53</v>
      </c>
      <c r="E57" s="5" t="s">
        <v>54</v>
      </c>
      <c r="F57" s="1" t="s">
        <v>55</v>
      </c>
      <c r="G57" s="2" t="s">
        <v>192</v>
      </c>
      <c r="H57" s="3" t="s">
        <v>56</v>
      </c>
      <c r="I57" s="4" t="s">
        <v>57</v>
      </c>
      <c r="J57" s="5" t="s">
        <v>58</v>
      </c>
      <c r="K57" s="1" t="s">
        <v>59</v>
      </c>
      <c r="L57" s="7" t="s">
        <v>27</v>
      </c>
      <c r="M57" s="1" t="s">
        <v>10</v>
      </c>
      <c r="O57" t="s">
        <v>26</v>
      </c>
      <c r="P57" s="2" t="s">
        <v>11</v>
      </c>
      <c r="Q57" s="3" t="s">
        <v>12</v>
      </c>
      <c r="R57" s="1" t="s">
        <v>13</v>
      </c>
      <c r="S57" s="4" t="s">
        <v>14</v>
      </c>
      <c r="T57" s="2" t="s">
        <v>15</v>
      </c>
      <c r="U57" s="3" t="s">
        <v>16</v>
      </c>
      <c r="V57" t="s">
        <v>17</v>
      </c>
      <c r="W57" s="4" t="s">
        <v>18</v>
      </c>
      <c r="X57" s="2" t="s">
        <v>19</v>
      </c>
      <c r="Y57" s="3" t="s">
        <v>20</v>
      </c>
      <c r="Z57" s="6" t="s">
        <v>21</v>
      </c>
      <c r="AA57" s="1" t="s">
        <v>10</v>
      </c>
    </row>
    <row r="58" spans="1:27" x14ac:dyDescent="0.2">
      <c r="A58" t="s">
        <v>28</v>
      </c>
      <c r="B58" s="2" t="s">
        <v>191</v>
      </c>
      <c r="C58" s="3" t="s">
        <v>52</v>
      </c>
      <c r="D58" s="4" t="s">
        <v>53</v>
      </c>
      <c r="E58" s="5" t="s">
        <v>54</v>
      </c>
      <c r="F58" s="1" t="s">
        <v>55</v>
      </c>
      <c r="G58" s="2" t="s">
        <v>192</v>
      </c>
      <c r="H58" s="3" t="s">
        <v>56</v>
      </c>
      <c r="I58" s="4" t="s">
        <v>57</v>
      </c>
      <c r="J58" s="5" t="s">
        <v>58</v>
      </c>
      <c r="K58" s="1" t="s">
        <v>59</v>
      </c>
      <c r="L58" s="7" t="s">
        <v>27</v>
      </c>
      <c r="M58" s="1" t="s">
        <v>10</v>
      </c>
      <c r="O58" t="s">
        <v>28</v>
      </c>
      <c r="P58" s="2" t="s">
        <v>11</v>
      </c>
      <c r="Q58" s="3" t="s">
        <v>12</v>
      </c>
      <c r="R58" s="1" t="s">
        <v>13</v>
      </c>
      <c r="S58" s="4" t="s">
        <v>14</v>
      </c>
      <c r="T58" s="2" t="s">
        <v>15</v>
      </c>
      <c r="U58" s="3" t="s">
        <v>16</v>
      </c>
      <c r="V58" t="s">
        <v>17</v>
      </c>
      <c r="W58" s="4" t="s">
        <v>18</v>
      </c>
      <c r="X58" s="2" t="s">
        <v>19</v>
      </c>
      <c r="Y58" s="3" t="s">
        <v>20</v>
      </c>
      <c r="Z58" s="6" t="s">
        <v>21</v>
      </c>
      <c r="AA58" s="1" t="s">
        <v>10</v>
      </c>
    </row>
    <row r="59" spans="1:27" x14ac:dyDescent="0.2">
      <c r="A59" t="s">
        <v>29</v>
      </c>
      <c r="B59" s="2" t="s">
        <v>191</v>
      </c>
      <c r="C59" s="3" t="s">
        <v>52</v>
      </c>
      <c r="D59" s="4" t="s">
        <v>53</v>
      </c>
      <c r="E59" s="5" t="s">
        <v>54</v>
      </c>
      <c r="F59" s="1" t="s">
        <v>55</v>
      </c>
      <c r="G59" s="2" t="s">
        <v>192</v>
      </c>
      <c r="H59" s="3" t="s">
        <v>56</v>
      </c>
      <c r="I59" s="4" t="s">
        <v>57</v>
      </c>
      <c r="J59" s="5" t="s">
        <v>58</v>
      </c>
      <c r="K59" s="1" t="s">
        <v>59</v>
      </c>
      <c r="L59" s="8" t="s">
        <v>30</v>
      </c>
      <c r="M59" s="1" t="s">
        <v>10</v>
      </c>
      <c r="O59" t="s">
        <v>29</v>
      </c>
      <c r="P59" s="2" t="s">
        <v>11</v>
      </c>
      <c r="Q59" s="3" t="s">
        <v>12</v>
      </c>
      <c r="R59" s="1" t="s">
        <v>13</v>
      </c>
      <c r="S59" s="4" t="s">
        <v>14</v>
      </c>
      <c r="T59" s="2" t="s">
        <v>15</v>
      </c>
      <c r="U59" s="3" t="s">
        <v>16</v>
      </c>
      <c r="V59" t="s">
        <v>17</v>
      </c>
      <c r="W59" s="4" t="s">
        <v>18</v>
      </c>
      <c r="X59" s="2" t="s">
        <v>19</v>
      </c>
      <c r="Y59" s="3" t="s">
        <v>20</v>
      </c>
      <c r="Z59" s="6" t="s">
        <v>21</v>
      </c>
      <c r="AA59" s="1" t="s">
        <v>10</v>
      </c>
    </row>
    <row r="60" spans="1:27" x14ac:dyDescent="0.2">
      <c r="A60" t="s">
        <v>31</v>
      </c>
      <c r="B60" s="2" t="s">
        <v>191</v>
      </c>
      <c r="C60" s="3" t="s">
        <v>52</v>
      </c>
      <c r="D60" s="4" t="s">
        <v>53</v>
      </c>
      <c r="E60" s="5" t="s">
        <v>54</v>
      </c>
      <c r="F60" s="1" t="s">
        <v>55</v>
      </c>
      <c r="G60" s="2" t="s">
        <v>192</v>
      </c>
      <c r="H60" s="3" t="s">
        <v>56</v>
      </c>
      <c r="I60" s="4" t="s">
        <v>57</v>
      </c>
      <c r="J60" s="5" t="s">
        <v>58</v>
      </c>
      <c r="K60" s="1" t="s">
        <v>59</v>
      </c>
      <c r="L60" s="8" t="s">
        <v>32</v>
      </c>
      <c r="M60" s="1" t="s">
        <v>10</v>
      </c>
      <c r="O60" t="s">
        <v>31</v>
      </c>
      <c r="P60" s="2" t="s">
        <v>11</v>
      </c>
      <c r="Q60" s="3" t="s">
        <v>12</v>
      </c>
      <c r="R60" s="1" t="s">
        <v>13</v>
      </c>
      <c r="S60" s="4" t="s">
        <v>14</v>
      </c>
      <c r="T60" s="2" t="s">
        <v>15</v>
      </c>
      <c r="U60" s="3" t="s">
        <v>16</v>
      </c>
      <c r="V60" t="s">
        <v>17</v>
      </c>
      <c r="W60" s="4" t="s">
        <v>18</v>
      </c>
      <c r="X60" s="2" t="s">
        <v>19</v>
      </c>
      <c r="Y60" s="3" t="s">
        <v>20</v>
      </c>
      <c r="Z60" s="6" t="s">
        <v>21</v>
      </c>
      <c r="AA60" s="1" t="s">
        <v>10</v>
      </c>
    </row>
    <row r="63" spans="1:27" x14ac:dyDescent="0.2">
      <c r="A63" t="s">
        <v>60</v>
      </c>
    </row>
    <row r="64" spans="1:27" x14ac:dyDescent="0.2">
      <c r="B64" s="1">
        <v>1</v>
      </c>
      <c r="C64" s="1">
        <v>2</v>
      </c>
      <c r="D64" s="1">
        <v>3</v>
      </c>
      <c r="E64" s="1">
        <v>4</v>
      </c>
      <c r="F64" s="1">
        <v>5</v>
      </c>
      <c r="G64" s="1">
        <v>6</v>
      </c>
      <c r="H64" s="1">
        <v>7</v>
      </c>
      <c r="I64" s="1">
        <v>8</v>
      </c>
      <c r="J64" s="1">
        <v>9</v>
      </c>
      <c r="K64" s="1">
        <v>10</v>
      </c>
      <c r="L64" s="1">
        <v>11</v>
      </c>
      <c r="M64" s="1">
        <v>12</v>
      </c>
      <c r="P64" s="1">
        <v>1</v>
      </c>
      <c r="Q64" s="1">
        <v>2</v>
      </c>
      <c r="R64" s="1">
        <v>3</v>
      </c>
      <c r="S64" s="1">
        <v>4</v>
      </c>
      <c r="T64" s="1">
        <v>5</v>
      </c>
      <c r="U64" s="1">
        <v>6</v>
      </c>
      <c r="V64" s="1">
        <v>7</v>
      </c>
      <c r="W64" s="1">
        <v>8</v>
      </c>
      <c r="X64" s="1">
        <v>9</v>
      </c>
      <c r="Y64" s="1">
        <v>10</v>
      </c>
      <c r="Z64" s="1">
        <v>11</v>
      </c>
      <c r="AA64" s="1">
        <v>12</v>
      </c>
    </row>
    <row r="65" spans="1:27" x14ac:dyDescent="0.2">
      <c r="A65" t="s">
        <v>1</v>
      </c>
      <c r="B65" s="2" t="s">
        <v>193</v>
      </c>
      <c r="C65" s="3" t="s">
        <v>61</v>
      </c>
      <c r="D65" s="4" t="s">
        <v>62</v>
      </c>
      <c r="E65" s="5" t="s">
        <v>63</v>
      </c>
      <c r="F65" s="1" t="s">
        <v>64</v>
      </c>
      <c r="G65" s="2" t="s">
        <v>194</v>
      </c>
      <c r="H65" s="3" t="s">
        <v>65</v>
      </c>
      <c r="I65" s="4" t="s">
        <v>66</v>
      </c>
      <c r="J65" s="5" t="s">
        <v>67</v>
      </c>
      <c r="K65" s="1" t="s">
        <v>68</v>
      </c>
      <c r="L65" s="2" t="s">
        <v>186</v>
      </c>
      <c r="M65" s="1" t="s">
        <v>10</v>
      </c>
      <c r="O65" t="s">
        <v>1</v>
      </c>
      <c r="P65" s="2" t="s">
        <v>11</v>
      </c>
      <c r="Q65" s="3" t="s">
        <v>12</v>
      </c>
      <c r="R65" s="1" t="s">
        <v>13</v>
      </c>
      <c r="S65" s="4" t="s">
        <v>14</v>
      </c>
      <c r="T65" s="2" t="s">
        <v>15</v>
      </c>
      <c r="U65" s="3" t="s">
        <v>16</v>
      </c>
      <c r="V65" t="s">
        <v>17</v>
      </c>
      <c r="W65" s="4" t="s">
        <v>18</v>
      </c>
      <c r="X65" s="2" t="s">
        <v>19</v>
      </c>
      <c r="Y65" s="3" t="s">
        <v>20</v>
      </c>
      <c r="Z65" s="6" t="s">
        <v>21</v>
      </c>
      <c r="AA65" s="1" t="s">
        <v>10</v>
      </c>
    </row>
    <row r="66" spans="1:27" x14ac:dyDescent="0.2">
      <c r="A66" t="s">
        <v>22</v>
      </c>
      <c r="B66" s="2" t="s">
        <v>193</v>
      </c>
      <c r="C66" s="3" t="s">
        <v>61</v>
      </c>
      <c r="D66" s="4" t="s">
        <v>62</v>
      </c>
      <c r="E66" s="5" t="s">
        <v>63</v>
      </c>
      <c r="F66" s="1" t="s">
        <v>64</v>
      </c>
      <c r="G66" s="2" t="s">
        <v>194</v>
      </c>
      <c r="H66" s="3" t="s">
        <v>65</v>
      </c>
      <c r="I66" s="4" t="s">
        <v>66</v>
      </c>
      <c r="J66" s="5" t="s">
        <v>67</v>
      </c>
      <c r="K66" s="1" t="s">
        <v>68</v>
      </c>
      <c r="L66" s="2" t="s">
        <v>186</v>
      </c>
      <c r="M66" s="1" t="s">
        <v>10</v>
      </c>
      <c r="O66" t="s">
        <v>22</v>
      </c>
      <c r="P66" s="2" t="s">
        <v>11</v>
      </c>
      <c r="Q66" s="3" t="s">
        <v>12</v>
      </c>
      <c r="R66" s="1" t="s">
        <v>13</v>
      </c>
      <c r="S66" s="4" t="s">
        <v>14</v>
      </c>
      <c r="T66" s="2" t="s">
        <v>15</v>
      </c>
      <c r="U66" s="3" t="s">
        <v>16</v>
      </c>
      <c r="V66" t="s">
        <v>17</v>
      </c>
      <c r="W66" s="4" t="s">
        <v>18</v>
      </c>
      <c r="X66" s="2" t="s">
        <v>19</v>
      </c>
      <c r="Y66" s="3" t="s">
        <v>20</v>
      </c>
      <c r="Z66" s="6" t="s">
        <v>21</v>
      </c>
      <c r="AA66" s="1" t="s">
        <v>10</v>
      </c>
    </row>
    <row r="67" spans="1:27" x14ac:dyDescent="0.2">
      <c r="A67" t="s">
        <v>23</v>
      </c>
      <c r="B67" s="2" t="s">
        <v>193</v>
      </c>
      <c r="C67" s="3" t="s">
        <v>61</v>
      </c>
      <c r="D67" s="4" t="s">
        <v>62</v>
      </c>
      <c r="E67" s="5" t="s">
        <v>63</v>
      </c>
      <c r="F67" s="1" t="s">
        <v>64</v>
      </c>
      <c r="G67" s="2" t="s">
        <v>194</v>
      </c>
      <c r="H67" s="3" t="s">
        <v>65</v>
      </c>
      <c r="I67" s="4" t="s">
        <v>66</v>
      </c>
      <c r="J67" s="5" t="s">
        <v>67</v>
      </c>
      <c r="K67" s="1" t="s">
        <v>68</v>
      </c>
      <c r="L67" s="3" t="s">
        <v>24</v>
      </c>
      <c r="M67" s="1" t="s">
        <v>10</v>
      </c>
      <c r="O67" t="s">
        <v>23</v>
      </c>
      <c r="P67" s="2" t="s">
        <v>11</v>
      </c>
      <c r="Q67" s="3" t="s">
        <v>12</v>
      </c>
      <c r="R67" s="1" t="s">
        <v>13</v>
      </c>
      <c r="S67" s="4" t="s">
        <v>14</v>
      </c>
      <c r="T67" s="2" t="s">
        <v>15</v>
      </c>
      <c r="U67" s="3" t="s">
        <v>16</v>
      </c>
      <c r="V67" t="s">
        <v>17</v>
      </c>
      <c r="W67" s="4" t="s">
        <v>18</v>
      </c>
      <c r="X67" s="2" t="s">
        <v>19</v>
      </c>
      <c r="Y67" s="3" t="s">
        <v>20</v>
      </c>
      <c r="Z67" s="6" t="s">
        <v>21</v>
      </c>
      <c r="AA67" s="1" t="s">
        <v>10</v>
      </c>
    </row>
    <row r="68" spans="1:27" x14ac:dyDescent="0.2">
      <c r="A68" t="s">
        <v>25</v>
      </c>
      <c r="B68" s="2" t="s">
        <v>193</v>
      </c>
      <c r="C68" s="3" t="s">
        <v>61</v>
      </c>
      <c r="D68" s="4" t="s">
        <v>62</v>
      </c>
      <c r="E68" s="5" t="s">
        <v>63</v>
      </c>
      <c r="F68" s="1" t="s">
        <v>64</v>
      </c>
      <c r="G68" s="2" t="s">
        <v>194</v>
      </c>
      <c r="H68" s="3" t="s">
        <v>65</v>
      </c>
      <c r="I68" s="4" t="s">
        <v>66</v>
      </c>
      <c r="J68" s="5" t="s">
        <v>67</v>
      </c>
      <c r="K68" s="1" t="s">
        <v>68</v>
      </c>
      <c r="L68" s="3" t="s">
        <v>24</v>
      </c>
      <c r="M68" s="1" t="s">
        <v>10</v>
      </c>
      <c r="O68" t="s">
        <v>25</v>
      </c>
      <c r="P68" s="2" t="s">
        <v>11</v>
      </c>
      <c r="Q68" s="3" t="s">
        <v>12</v>
      </c>
      <c r="R68" s="1" t="s">
        <v>13</v>
      </c>
      <c r="S68" s="4" t="s">
        <v>14</v>
      </c>
      <c r="T68" s="2" t="s">
        <v>15</v>
      </c>
      <c r="U68" s="3" t="s">
        <v>16</v>
      </c>
      <c r="V68" t="s">
        <v>17</v>
      </c>
      <c r="W68" s="4" t="s">
        <v>18</v>
      </c>
      <c r="X68" s="2" t="s">
        <v>19</v>
      </c>
      <c r="Y68" s="3" t="s">
        <v>20</v>
      </c>
      <c r="Z68" s="6" t="s">
        <v>21</v>
      </c>
      <c r="AA68" s="1" t="s">
        <v>10</v>
      </c>
    </row>
    <row r="69" spans="1:27" x14ac:dyDescent="0.2">
      <c r="A69" t="s">
        <v>26</v>
      </c>
      <c r="B69" s="2" t="s">
        <v>193</v>
      </c>
      <c r="C69" s="3" t="s">
        <v>61</v>
      </c>
      <c r="D69" s="4" t="s">
        <v>62</v>
      </c>
      <c r="E69" s="5" t="s">
        <v>63</v>
      </c>
      <c r="F69" s="1" t="s">
        <v>64</v>
      </c>
      <c r="G69" s="2" t="s">
        <v>194</v>
      </c>
      <c r="H69" s="3" t="s">
        <v>65</v>
      </c>
      <c r="I69" s="4" t="s">
        <v>66</v>
      </c>
      <c r="J69" s="5" t="s">
        <v>67</v>
      </c>
      <c r="K69" s="1" t="s">
        <v>68</v>
      </c>
      <c r="L69" s="7" t="s">
        <v>27</v>
      </c>
      <c r="M69" s="1" t="s">
        <v>10</v>
      </c>
      <c r="O69" t="s">
        <v>26</v>
      </c>
      <c r="P69" s="2" t="s">
        <v>11</v>
      </c>
      <c r="Q69" s="3" t="s">
        <v>12</v>
      </c>
      <c r="R69" s="1" t="s">
        <v>13</v>
      </c>
      <c r="S69" s="4" t="s">
        <v>14</v>
      </c>
      <c r="T69" s="2" t="s">
        <v>15</v>
      </c>
      <c r="U69" s="3" t="s">
        <v>16</v>
      </c>
      <c r="V69" t="s">
        <v>17</v>
      </c>
      <c r="W69" s="4" t="s">
        <v>18</v>
      </c>
      <c r="X69" s="2" t="s">
        <v>19</v>
      </c>
      <c r="Y69" s="3" t="s">
        <v>20</v>
      </c>
      <c r="Z69" s="6" t="s">
        <v>21</v>
      </c>
      <c r="AA69" s="1" t="s">
        <v>10</v>
      </c>
    </row>
    <row r="70" spans="1:27" x14ac:dyDescent="0.2">
      <c r="A70" t="s">
        <v>28</v>
      </c>
      <c r="B70" s="2" t="s">
        <v>193</v>
      </c>
      <c r="C70" s="3" t="s">
        <v>61</v>
      </c>
      <c r="D70" s="4" t="s">
        <v>62</v>
      </c>
      <c r="E70" s="5" t="s">
        <v>63</v>
      </c>
      <c r="F70" s="1" t="s">
        <v>64</v>
      </c>
      <c r="G70" s="2" t="s">
        <v>194</v>
      </c>
      <c r="H70" s="3" t="s">
        <v>65</v>
      </c>
      <c r="I70" s="4" t="s">
        <v>66</v>
      </c>
      <c r="J70" s="5" t="s">
        <v>67</v>
      </c>
      <c r="K70" s="1" t="s">
        <v>68</v>
      </c>
      <c r="L70" s="7" t="s">
        <v>27</v>
      </c>
      <c r="M70" s="1" t="s">
        <v>10</v>
      </c>
      <c r="O70" t="s">
        <v>28</v>
      </c>
      <c r="P70" s="2" t="s">
        <v>11</v>
      </c>
      <c r="Q70" s="3" t="s">
        <v>12</v>
      </c>
      <c r="R70" s="1" t="s">
        <v>13</v>
      </c>
      <c r="S70" s="4" t="s">
        <v>14</v>
      </c>
      <c r="T70" s="2" t="s">
        <v>15</v>
      </c>
      <c r="U70" s="3" t="s">
        <v>16</v>
      </c>
      <c r="V70" t="s">
        <v>17</v>
      </c>
      <c r="W70" s="4" t="s">
        <v>18</v>
      </c>
      <c r="X70" s="2" t="s">
        <v>19</v>
      </c>
      <c r="Y70" s="3" t="s">
        <v>20</v>
      </c>
      <c r="Z70" s="6" t="s">
        <v>21</v>
      </c>
      <c r="AA70" s="1" t="s">
        <v>10</v>
      </c>
    </row>
    <row r="71" spans="1:27" x14ac:dyDescent="0.2">
      <c r="A71" t="s">
        <v>29</v>
      </c>
      <c r="B71" s="2" t="s">
        <v>193</v>
      </c>
      <c r="C71" s="3" t="s">
        <v>61</v>
      </c>
      <c r="D71" s="4" t="s">
        <v>62</v>
      </c>
      <c r="E71" s="5" t="s">
        <v>63</v>
      </c>
      <c r="F71" s="1" t="s">
        <v>64</v>
      </c>
      <c r="G71" s="2" t="s">
        <v>194</v>
      </c>
      <c r="H71" s="3" t="s">
        <v>65</v>
      </c>
      <c r="I71" s="4" t="s">
        <v>66</v>
      </c>
      <c r="J71" s="5" t="s">
        <v>67</v>
      </c>
      <c r="K71" s="1" t="s">
        <v>68</v>
      </c>
      <c r="L71" s="8" t="s">
        <v>30</v>
      </c>
      <c r="M71" s="1" t="s">
        <v>10</v>
      </c>
      <c r="O71" t="s">
        <v>29</v>
      </c>
      <c r="P71" s="2" t="s">
        <v>11</v>
      </c>
      <c r="Q71" s="3" t="s">
        <v>12</v>
      </c>
      <c r="R71" s="1" t="s">
        <v>13</v>
      </c>
      <c r="S71" s="4" t="s">
        <v>14</v>
      </c>
      <c r="T71" s="2" t="s">
        <v>15</v>
      </c>
      <c r="U71" s="3" t="s">
        <v>16</v>
      </c>
      <c r="V71" t="s">
        <v>17</v>
      </c>
      <c r="W71" s="4" t="s">
        <v>18</v>
      </c>
      <c r="X71" s="2" t="s">
        <v>19</v>
      </c>
      <c r="Y71" s="3" t="s">
        <v>20</v>
      </c>
      <c r="Z71" s="6" t="s">
        <v>21</v>
      </c>
      <c r="AA71" s="1" t="s">
        <v>10</v>
      </c>
    </row>
    <row r="72" spans="1:27" x14ac:dyDescent="0.2">
      <c r="A72" t="s">
        <v>31</v>
      </c>
      <c r="B72" s="2" t="s">
        <v>193</v>
      </c>
      <c r="C72" s="3" t="s">
        <v>61</v>
      </c>
      <c r="D72" s="4" t="s">
        <v>62</v>
      </c>
      <c r="E72" s="5" t="s">
        <v>63</v>
      </c>
      <c r="F72" s="1" t="s">
        <v>64</v>
      </c>
      <c r="G72" s="2" t="s">
        <v>194</v>
      </c>
      <c r="H72" s="3" t="s">
        <v>65</v>
      </c>
      <c r="I72" s="4" t="s">
        <v>66</v>
      </c>
      <c r="J72" s="5" t="s">
        <v>67</v>
      </c>
      <c r="K72" s="1" t="s">
        <v>68</v>
      </c>
      <c r="L72" s="8" t="s">
        <v>32</v>
      </c>
      <c r="M72" s="1" t="s">
        <v>10</v>
      </c>
      <c r="O72" t="s">
        <v>31</v>
      </c>
      <c r="P72" s="2" t="s">
        <v>11</v>
      </c>
      <c r="Q72" s="3" t="s">
        <v>12</v>
      </c>
      <c r="R72" s="1" t="s">
        <v>13</v>
      </c>
      <c r="S72" s="4" t="s">
        <v>14</v>
      </c>
      <c r="T72" s="2" t="s">
        <v>15</v>
      </c>
      <c r="U72" s="3" t="s">
        <v>16</v>
      </c>
      <c r="V72" t="s">
        <v>17</v>
      </c>
      <c r="W72" s="4" t="s">
        <v>18</v>
      </c>
      <c r="X72" s="2" t="s">
        <v>19</v>
      </c>
      <c r="Y72" s="3" t="s">
        <v>20</v>
      </c>
      <c r="Z72" s="6" t="s">
        <v>21</v>
      </c>
      <c r="AA72" s="1" t="s">
        <v>10</v>
      </c>
    </row>
    <row r="75" spans="1:27" x14ac:dyDescent="0.2">
      <c r="A75" t="s">
        <v>69</v>
      </c>
    </row>
    <row r="76" spans="1:27" x14ac:dyDescent="0.2">
      <c r="B76" s="1">
        <v>1</v>
      </c>
      <c r="C76" s="1">
        <v>2</v>
      </c>
      <c r="D76" s="1">
        <v>3</v>
      </c>
      <c r="E76" s="1">
        <v>4</v>
      </c>
      <c r="F76" s="1">
        <v>5</v>
      </c>
      <c r="G76" s="1">
        <v>6</v>
      </c>
      <c r="H76" s="1">
        <v>7</v>
      </c>
      <c r="I76" s="1">
        <v>8</v>
      </c>
      <c r="J76" s="1">
        <v>9</v>
      </c>
      <c r="K76" s="1">
        <v>10</v>
      </c>
      <c r="L76" s="1">
        <v>11</v>
      </c>
      <c r="M76" s="1">
        <v>12</v>
      </c>
      <c r="P76" s="1">
        <v>1</v>
      </c>
      <c r="Q76" s="1">
        <v>2</v>
      </c>
      <c r="R76" s="1">
        <v>3</v>
      </c>
      <c r="S76" s="1">
        <v>4</v>
      </c>
      <c r="T76" s="1">
        <v>5</v>
      </c>
      <c r="U76" s="1">
        <v>6</v>
      </c>
      <c r="V76" s="1">
        <v>7</v>
      </c>
      <c r="W76" s="1">
        <v>8</v>
      </c>
      <c r="X76" s="1">
        <v>9</v>
      </c>
      <c r="Y76" s="1">
        <v>10</v>
      </c>
      <c r="Z76" s="1">
        <v>11</v>
      </c>
      <c r="AA76" s="1">
        <v>12</v>
      </c>
    </row>
    <row r="77" spans="1:27" x14ac:dyDescent="0.2">
      <c r="A77" t="s">
        <v>1</v>
      </c>
      <c r="B77" s="2" t="s">
        <v>195</v>
      </c>
      <c r="C77" s="3" t="s">
        <v>70</v>
      </c>
      <c r="D77" s="4" t="s">
        <v>71</v>
      </c>
      <c r="E77" s="5" t="s">
        <v>72</v>
      </c>
      <c r="F77" s="1" t="s">
        <v>73</v>
      </c>
      <c r="G77" s="2" t="s">
        <v>196</v>
      </c>
      <c r="H77" s="3" t="s">
        <v>74</v>
      </c>
      <c r="I77" s="4" t="s">
        <v>75</v>
      </c>
      <c r="J77" s="5" t="s">
        <v>76</v>
      </c>
      <c r="K77" s="1" t="s">
        <v>77</v>
      </c>
      <c r="L77" s="2" t="s">
        <v>186</v>
      </c>
      <c r="M77" s="1" t="s">
        <v>10</v>
      </c>
      <c r="O77" t="s">
        <v>1</v>
      </c>
      <c r="P77" s="2" t="s">
        <v>11</v>
      </c>
      <c r="Q77" s="3" t="s">
        <v>12</v>
      </c>
      <c r="R77" s="1" t="s">
        <v>13</v>
      </c>
      <c r="S77" s="4" t="s">
        <v>14</v>
      </c>
      <c r="T77" s="2" t="s">
        <v>15</v>
      </c>
      <c r="U77" s="3" t="s">
        <v>16</v>
      </c>
      <c r="V77" t="s">
        <v>17</v>
      </c>
      <c r="W77" s="4" t="s">
        <v>18</v>
      </c>
      <c r="X77" s="2" t="s">
        <v>19</v>
      </c>
      <c r="Y77" s="3" t="s">
        <v>20</v>
      </c>
      <c r="Z77" s="6" t="s">
        <v>21</v>
      </c>
      <c r="AA77" s="1" t="s">
        <v>10</v>
      </c>
    </row>
    <row r="78" spans="1:27" x14ac:dyDescent="0.2">
      <c r="A78" t="s">
        <v>22</v>
      </c>
      <c r="B78" s="2" t="s">
        <v>195</v>
      </c>
      <c r="C78" s="3" t="s">
        <v>70</v>
      </c>
      <c r="D78" s="4" t="s">
        <v>71</v>
      </c>
      <c r="E78" s="5" t="s">
        <v>72</v>
      </c>
      <c r="F78" s="1" t="s">
        <v>73</v>
      </c>
      <c r="G78" s="2" t="s">
        <v>196</v>
      </c>
      <c r="H78" s="3" t="s">
        <v>74</v>
      </c>
      <c r="I78" s="4" t="s">
        <v>75</v>
      </c>
      <c r="J78" s="5" t="s">
        <v>76</v>
      </c>
      <c r="K78" s="1" t="s">
        <v>77</v>
      </c>
      <c r="L78" s="2" t="s">
        <v>186</v>
      </c>
      <c r="M78" s="1" t="s">
        <v>10</v>
      </c>
      <c r="O78" t="s">
        <v>22</v>
      </c>
      <c r="P78" s="2" t="s">
        <v>11</v>
      </c>
      <c r="Q78" s="3" t="s">
        <v>12</v>
      </c>
      <c r="R78" s="1" t="s">
        <v>13</v>
      </c>
      <c r="S78" s="4" t="s">
        <v>14</v>
      </c>
      <c r="T78" s="2" t="s">
        <v>15</v>
      </c>
      <c r="U78" s="3" t="s">
        <v>16</v>
      </c>
      <c r="V78" t="s">
        <v>17</v>
      </c>
      <c r="W78" s="4" t="s">
        <v>18</v>
      </c>
      <c r="X78" s="2" t="s">
        <v>19</v>
      </c>
      <c r="Y78" s="3" t="s">
        <v>20</v>
      </c>
      <c r="Z78" s="6" t="s">
        <v>21</v>
      </c>
      <c r="AA78" s="1" t="s">
        <v>10</v>
      </c>
    </row>
    <row r="79" spans="1:27" x14ac:dyDescent="0.2">
      <c r="A79" t="s">
        <v>23</v>
      </c>
      <c r="B79" s="2" t="s">
        <v>195</v>
      </c>
      <c r="C79" s="3" t="s">
        <v>70</v>
      </c>
      <c r="D79" s="4" t="s">
        <v>71</v>
      </c>
      <c r="E79" s="5" t="s">
        <v>72</v>
      </c>
      <c r="F79" s="1" t="s">
        <v>73</v>
      </c>
      <c r="G79" s="2" t="s">
        <v>196</v>
      </c>
      <c r="H79" s="3" t="s">
        <v>74</v>
      </c>
      <c r="I79" s="4" t="s">
        <v>75</v>
      </c>
      <c r="J79" s="5" t="s">
        <v>76</v>
      </c>
      <c r="K79" s="1" t="s">
        <v>77</v>
      </c>
      <c r="L79" s="3" t="s">
        <v>24</v>
      </c>
      <c r="M79" s="1" t="s">
        <v>10</v>
      </c>
      <c r="O79" t="s">
        <v>23</v>
      </c>
      <c r="P79" s="2" t="s">
        <v>11</v>
      </c>
      <c r="Q79" s="3" t="s">
        <v>12</v>
      </c>
      <c r="R79" s="1" t="s">
        <v>13</v>
      </c>
      <c r="S79" s="4" t="s">
        <v>14</v>
      </c>
      <c r="T79" s="2" t="s">
        <v>15</v>
      </c>
      <c r="U79" s="3" t="s">
        <v>16</v>
      </c>
      <c r="V79" t="s">
        <v>17</v>
      </c>
      <c r="W79" s="4" t="s">
        <v>18</v>
      </c>
      <c r="X79" s="2" t="s">
        <v>19</v>
      </c>
      <c r="Y79" s="3" t="s">
        <v>20</v>
      </c>
      <c r="Z79" s="6" t="s">
        <v>21</v>
      </c>
      <c r="AA79" s="1" t="s">
        <v>10</v>
      </c>
    </row>
    <row r="80" spans="1:27" x14ac:dyDescent="0.2">
      <c r="A80" t="s">
        <v>25</v>
      </c>
      <c r="B80" s="2" t="s">
        <v>195</v>
      </c>
      <c r="C80" s="3" t="s">
        <v>70</v>
      </c>
      <c r="D80" s="4" t="s">
        <v>71</v>
      </c>
      <c r="E80" s="5" t="s">
        <v>72</v>
      </c>
      <c r="F80" s="1" t="s">
        <v>73</v>
      </c>
      <c r="G80" s="2" t="s">
        <v>196</v>
      </c>
      <c r="H80" s="3" t="s">
        <v>74</v>
      </c>
      <c r="I80" s="4" t="s">
        <v>75</v>
      </c>
      <c r="J80" s="5" t="s">
        <v>76</v>
      </c>
      <c r="K80" s="1" t="s">
        <v>77</v>
      </c>
      <c r="L80" s="3" t="s">
        <v>24</v>
      </c>
      <c r="M80" s="1" t="s">
        <v>10</v>
      </c>
      <c r="O80" t="s">
        <v>25</v>
      </c>
      <c r="P80" s="2" t="s">
        <v>11</v>
      </c>
      <c r="Q80" s="3" t="s">
        <v>12</v>
      </c>
      <c r="R80" s="1" t="s">
        <v>13</v>
      </c>
      <c r="S80" s="4" t="s">
        <v>14</v>
      </c>
      <c r="T80" s="2" t="s">
        <v>15</v>
      </c>
      <c r="U80" s="3" t="s">
        <v>16</v>
      </c>
      <c r="V80" t="s">
        <v>17</v>
      </c>
      <c r="W80" s="4" t="s">
        <v>18</v>
      </c>
      <c r="X80" s="2" t="s">
        <v>19</v>
      </c>
      <c r="Y80" s="3" t="s">
        <v>20</v>
      </c>
      <c r="Z80" s="6" t="s">
        <v>21</v>
      </c>
      <c r="AA80" s="1" t="s">
        <v>10</v>
      </c>
    </row>
    <row r="81" spans="1:27" x14ac:dyDescent="0.2">
      <c r="A81" t="s">
        <v>26</v>
      </c>
      <c r="B81" s="2" t="s">
        <v>195</v>
      </c>
      <c r="C81" s="3" t="s">
        <v>70</v>
      </c>
      <c r="D81" s="4" t="s">
        <v>71</v>
      </c>
      <c r="E81" s="5" t="s">
        <v>72</v>
      </c>
      <c r="F81" s="1" t="s">
        <v>73</v>
      </c>
      <c r="G81" s="2" t="s">
        <v>196</v>
      </c>
      <c r="H81" s="3" t="s">
        <v>74</v>
      </c>
      <c r="I81" s="4" t="s">
        <v>75</v>
      </c>
      <c r="J81" s="5" t="s">
        <v>76</v>
      </c>
      <c r="K81" s="1" t="s">
        <v>77</v>
      </c>
      <c r="L81" s="7" t="s">
        <v>27</v>
      </c>
      <c r="M81" s="1" t="s">
        <v>10</v>
      </c>
      <c r="O81" t="s">
        <v>26</v>
      </c>
      <c r="P81" s="2" t="s">
        <v>11</v>
      </c>
      <c r="Q81" s="3" t="s">
        <v>12</v>
      </c>
      <c r="R81" s="1" t="s">
        <v>13</v>
      </c>
      <c r="S81" s="4" t="s">
        <v>14</v>
      </c>
      <c r="T81" s="2" t="s">
        <v>15</v>
      </c>
      <c r="U81" s="3" t="s">
        <v>16</v>
      </c>
      <c r="V81" t="s">
        <v>17</v>
      </c>
      <c r="W81" s="4" t="s">
        <v>18</v>
      </c>
      <c r="X81" s="2" t="s">
        <v>19</v>
      </c>
      <c r="Y81" s="3" t="s">
        <v>20</v>
      </c>
      <c r="Z81" s="6" t="s">
        <v>21</v>
      </c>
      <c r="AA81" s="1" t="s">
        <v>10</v>
      </c>
    </row>
    <row r="82" spans="1:27" x14ac:dyDescent="0.2">
      <c r="A82" t="s">
        <v>28</v>
      </c>
      <c r="B82" s="2" t="s">
        <v>195</v>
      </c>
      <c r="C82" s="3" t="s">
        <v>70</v>
      </c>
      <c r="D82" s="4" t="s">
        <v>71</v>
      </c>
      <c r="E82" s="5" t="s">
        <v>72</v>
      </c>
      <c r="F82" s="1" t="s">
        <v>73</v>
      </c>
      <c r="G82" s="2" t="s">
        <v>196</v>
      </c>
      <c r="H82" s="3" t="s">
        <v>74</v>
      </c>
      <c r="I82" s="4" t="s">
        <v>75</v>
      </c>
      <c r="J82" s="5" t="s">
        <v>76</v>
      </c>
      <c r="K82" s="1" t="s">
        <v>77</v>
      </c>
      <c r="L82" s="7" t="s">
        <v>27</v>
      </c>
      <c r="M82" s="1" t="s">
        <v>10</v>
      </c>
      <c r="O82" t="s">
        <v>28</v>
      </c>
      <c r="P82" s="2" t="s">
        <v>11</v>
      </c>
      <c r="Q82" s="3" t="s">
        <v>12</v>
      </c>
      <c r="R82" s="1" t="s">
        <v>13</v>
      </c>
      <c r="S82" s="4" t="s">
        <v>14</v>
      </c>
      <c r="T82" s="2" t="s">
        <v>15</v>
      </c>
      <c r="U82" s="3" t="s">
        <v>16</v>
      </c>
      <c r="V82" t="s">
        <v>17</v>
      </c>
      <c r="W82" s="4" t="s">
        <v>18</v>
      </c>
      <c r="X82" s="2" t="s">
        <v>19</v>
      </c>
      <c r="Y82" s="3" t="s">
        <v>20</v>
      </c>
      <c r="Z82" s="6" t="s">
        <v>21</v>
      </c>
      <c r="AA82" s="1" t="s">
        <v>10</v>
      </c>
    </row>
    <row r="83" spans="1:27" x14ac:dyDescent="0.2">
      <c r="A83" t="s">
        <v>29</v>
      </c>
      <c r="B83" s="2" t="s">
        <v>195</v>
      </c>
      <c r="C83" s="3" t="s">
        <v>70</v>
      </c>
      <c r="D83" s="4" t="s">
        <v>71</v>
      </c>
      <c r="E83" s="5" t="s">
        <v>72</v>
      </c>
      <c r="F83" s="1" t="s">
        <v>73</v>
      </c>
      <c r="G83" s="2" t="s">
        <v>196</v>
      </c>
      <c r="H83" s="3" t="s">
        <v>74</v>
      </c>
      <c r="I83" s="4" t="s">
        <v>75</v>
      </c>
      <c r="J83" s="5" t="s">
        <v>76</v>
      </c>
      <c r="K83" s="1" t="s">
        <v>77</v>
      </c>
      <c r="L83" s="8" t="s">
        <v>30</v>
      </c>
      <c r="M83" s="1" t="s">
        <v>10</v>
      </c>
      <c r="O83" t="s">
        <v>29</v>
      </c>
      <c r="P83" s="2" t="s">
        <v>11</v>
      </c>
      <c r="Q83" s="3" t="s">
        <v>12</v>
      </c>
      <c r="R83" s="1" t="s">
        <v>13</v>
      </c>
      <c r="S83" s="4" t="s">
        <v>14</v>
      </c>
      <c r="T83" s="2" t="s">
        <v>15</v>
      </c>
      <c r="U83" s="3" t="s">
        <v>16</v>
      </c>
      <c r="V83" t="s">
        <v>17</v>
      </c>
      <c r="W83" s="4" t="s">
        <v>18</v>
      </c>
      <c r="X83" s="2" t="s">
        <v>19</v>
      </c>
      <c r="Y83" s="3" t="s">
        <v>20</v>
      </c>
      <c r="Z83" s="6" t="s">
        <v>21</v>
      </c>
      <c r="AA83" s="1" t="s">
        <v>10</v>
      </c>
    </row>
    <row r="84" spans="1:27" x14ac:dyDescent="0.2">
      <c r="A84" t="s">
        <v>31</v>
      </c>
      <c r="B84" s="2" t="s">
        <v>195</v>
      </c>
      <c r="C84" s="3" t="s">
        <v>70</v>
      </c>
      <c r="D84" s="4" t="s">
        <v>71</v>
      </c>
      <c r="E84" s="5" t="s">
        <v>72</v>
      </c>
      <c r="F84" s="1" t="s">
        <v>73</v>
      </c>
      <c r="G84" s="2" t="s">
        <v>196</v>
      </c>
      <c r="H84" s="3" t="s">
        <v>74</v>
      </c>
      <c r="I84" s="4" t="s">
        <v>75</v>
      </c>
      <c r="J84" s="5" t="s">
        <v>76</v>
      </c>
      <c r="K84" s="1" t="s">
        <v>77</v>
      </c>
      <c r="L84" s="8" t="s">
        <v>32</v>
      </c>
      <c r="M84" s="1" t="s">
        <v>10</v>
      </c>
      <c r="O84" t="s">
        <v>31</v>
      </c>
      <c r="P84" s="2" t="s">
        <v>11</v>
      </c>
      <c r="Q84" s="3" t="s">
        <v>12</v>
      </c>
      <c r="R84" s="1" t="s">
        <v>13</v>
      </c>
      <c r="S84" s="4" t="s">
        <v>14</v>
      </c>
      <c r="T84" s="2" t="s">
        <v>15</v>
      </c>
      <c r="U84" s="3" t="s">
        <v>16</v>
      </c>
      <c r="V84" t="s">
        <v>17</v>
      </c>
      <c r="W84" s="4" t="s">
        <v>18</v>
      </c>
      <c r="X84" s="2" t="s">
        <v>19</v>
      </c>
      <c r="Y84" s="3" t="s">
        <v>20</v>
      </c>
      <c r="Z84" s="6" t="s">
        <v>21</v>
      </c>
      <c r="AA84" s="1" t="s">
        <v>10</v>
      </c>
    </row>
    <row r="86" spans="1:27" ht="17" thickBot="1" x14ac:dyDescent="0.25"/>
    <row r="87" spans="1:27" x14ac:dyDescent="0.2">
      <c r="A87" s="39" t="s">
        <v>198</v>
      </c>
      <c r="B87" s="40" t="s">
        <v>199</v>
      </c>
      <c r="C87" s="41" t="s">
        <v>200</v>
      </c>
    </row>
    <row r="88" spans="1:27" x14ac:dyDescent="0.2">
      <c r="A88" s="42" t="s">
        <v>213</v>
      </c>
      <c r="B88" s="38" t="s">
        <v>204</v>
      </c>
      <c r="C88" s="43" t="s">
        <v>207</v>
      </c>
      <c r="D88" s="38"/>
    </row>
    <row r="89" spans="1:27" x14ac:dyDescent="0.2">
      <c r="A89" s="42" t="s">
        <v>214</v>
      </c>
      <c r="B89" s="38" t="s">
        <v>204</v>
      </c>
      <c r="C89" s="43" t="s">
        <v>212</v>
      </c>
      <c r="D89" s="38"/>
    </row>
    <row r="90" spans="1:27" x14ac:dyDescent="0.2">
      <c r="A90" s="42" t="s">
        <v>208</v>
      </c>
      <c r="B90" s="38" t="s">
        <v>206</v>
      </c>
      <c r="C90" s="43" t="s">
        <v>207</v>
      </c>
      <c r="D90" s="38"/>
    </row>
    <row r="91" spans="1:27" x14ac:dyDescent="0.2">
      <c r="A91" s="42" t="s">
        <v>211</v>
      </c>
      <c r="B91" s="38" t="s">
        <v>206</v>
      </c>
      <c r="C91" s="43" t="s">
        <v>212</v>
      </c>
      <c r="D91" s="38"/>
    </row>
    <row r="92" spans="1:27" ht="17" thickBot="1" x14ac:dyDescent="0.25">
      <c r="A92" s="44" t="s">
        <v>209</v>
      </c>
      <c r="B92" s="45" t="s">
        <v>206</v>
      </c>
      <c r="C92" s="46" t="s">
        <v>10</v>
      </c>
      <c r="D92" s="38"/>
    </row>
    <row r="93" spans="1:27" x14ac:dyDescent="0.2">
      <c r="A93" s="47"/>
      <c r="B93" s="47"/>
      <c r="C93" s="47"/>
      <c r="D93" s="38"/>
    </row>
    <row r="94" spans="1:27" x14ac:dyDescent="0.2">
      <c r="A94" t="s">
        <v>78</v>
      </c>
    </row>
    <row r="95" spans="1:27" x14ac:dyDescent="0.2">
      <c r="B95" s="1">
        <v>1</v>
      </c>
      <c r="C95" s="1">
        <v>2</v>
      </c>
      <c r="D95" s="1">
        <v>3</v>
      </c>
      <c r="E95" s="1">
        <v>4</v>
      </c>
      <c r="F95" s="1">
        <v>5</v>
      </c>
      <c r="G95" s="1">
        <v>6</v>
      </c>
      <c r="H95" s="1">
        <v>7</v>
      </c>
      <c r="I95" s="1">
        <v>8</v>
      </c>
      <c r="J95" s="1">
        <v>9</v>
      </c>
      <c r="K95" s="1">
        <v>10</v>
      </c>
      <c r="L95" s="1">
        <v>11</v>
      </c>
      <c r="M95" s="1">
        <v>12</v>
      </c>
    </row>
    <row r="96" spans="1:27" x14ac:dyDescent="0.2">
      <c r="A96" s="9" t="s">
        <v>1</v>
      </c>
      <c r="B96" s="10" t="s">
        <v>79</v>
      </c>
      <c r="C96" s="11" t="s">
        <v>80</v>
      </c>
      <c r="D96" s="11" t="s">
        <v>81</v>
      </c>
      <c r="E96" s="11" t="s">
        <v>82</v>
      </c>
      <c r="F96" s="11" t="s">
        <v>83</v>
      </c>
      <c r="G96" s="11" t="s">
        <v>84</v>
      </c>
      <c r="H96" s="11" t="s">
        <v>85</v>
      </c>
      <c r="I96" s="11" t="s">
        <v>86</v>
      </c>
      <c r="J96" s="11" t="s">
        <v>87</v>
      </c>
      <c r="K96" s="12" t="s">
        <v>88</v>
      </c>
      <c r="L96" s="11" t="s">
        <v>89</v>
      </c>
      <c r="M96" s="12" t="s">
        <v>90</v>
      </c>
    </row>
    <row r="97" spans="1:13" x14ac:dyDescent="0.2">
      <c r="A97" s="9" t="s">
        <v>22</v>
      </c>
      <c r="B97" s="13" t="s">
        <v>91</v>
      </c>
      <c r="C97" s="14" t="s">
        <v>92</v>
      </c>
      <c r="D97" s="14" t="s">
        <v>93</v>
      </c>
      <c r="E97" s="14" t="s">
        <v>94</v>
      </c>
      <c r="F97" s="14" t="s">
        <v>95</v>
      </c>
      <c r="G97" s="14" t="s">
        <v>96</v>
      </c>
      <c r="H97" s="14" t="s">
        <v>97</v>
      </c>
      <c r="I97" s="14" t="s">
        <v>98</v>
      </c>
      <c r="J97" s="14" t="s">
        <v>99</v>
      </c>
      <c r="K97" s="15" t="s">
        <v>100</v>
      </c>
      <c r="L97" s="14" t="s">
        <v>101</v>
      </c>
      <c r="M97" s="15" t="s">
        <v>102</v>
      </c>
    </row>
    <row r="98" spans="1:13" x14ac:dyDescent="0.2">
      <c r="A98" s="9" t="s">
        <v>23</v>
      </c>
      <c r="B98" s="16" t="s">
        <v>103</v>
      </c>
      <c r="C98" s="17" t="s">
        <v>104</v>
      </c>
      <c r="D98" s="17" t="s">
        <v>105</v>
      </c>
      <c r="E98" s="17" t="s">
        <v>106</v>
      </c>
      <c r="F98" s="17" t="s">
        <v>107</v>
      </c>
      <c r="G98" s="17" t="s">
        <v>108</v>
      </c>
      <c r="H98" s="17" t="s">
        <v>109</v>
      </c>
      <c r="I98" s="17" t="s">
        <v>110</v>
      </c>
      <c r="J98" s="17" t="s">
        <v>111</v>
      </c>
      <c r="K98" s="18" t="s">
        <v>112</v>
      </c>
      <c r="L98" s="17" t="s">
        <v>113</v>
      </c>
      <c r="M98" s="18" t="s">
        <v>114</v>
      </c>
    </row>
    <row r="99" spans="1:13" x14ac:dyDescent="0.2">
      <c r="A99" s="9" t="s">
        <v>25</v>
      </c>
      <c r="B99" s="19" t="s">
        <v>115</v>
      </c>
      <c r="C99" s="20" t="s">
        <v>116</v>
      </c>
      <c r="D99" s="20" t="s">
        <v>117</v>
      </c>
      <c r="E99" s="20" t="s">
        <v>118</v>
      </c>
      <c r="F99" s="20" t="s">
        <v>119</v>
      </c>
      <c r="G99" s="20" t="s">
        <v>120</v>
      </c>
      <c r="H99" s="20" t="s">
        <v>121</v>
      </c>
      <c r="I99" s="20" t="s">
        <v>122</v>
      </c>
      <c r="J99" s="20" t="s">
        <v>123</v>
      </c>
      <c r="K99" s="21" t="s">
        <v>124</v>
      </c>
      <c r="L99" s="20" t="s">
        <v>125</v>
      </c>
      <c r="M99" s="21" t="s">
        <v>126</v>
      </c>
    </row>
    <row r="100" spans="1:13" x14ac:dyDescent="0.2">
      <c r="A100" s="9" t="s">
        <v>26</v>
      </c>
      <c r="B100" s="22" t="s">
        <v>127</v>
      </c>
      <c r="C100" s="23" t="s">
        <v>128</v>
      </c>
      <c r="D100" s="23" t="s">
        <v>129</v>
      </c>
      <c r="E100" s="23" t="s">
        <v>130</v>
      </c>
      <c r="F100" s="23" t="s">
        <v>131</v>
      </c>
      <c r="G100" s="23" t="s">
        <v>132</v>
      </c>
      <c r="H100" s="23" t="s">
        <v>133</v>
      </c>
      <c r="I100" s="23" t="s">
        <v>134</v>
      </c>
      <c r="J100" s="23" t="s">
        <v>135</v>
      </c>
      <c r="K100" s="24" t="s">
        <v>136</v>
      </c>
      <c r="L100" s="23" t="s">
        <v>137</v>
      </c>
      <c r="M100" s="24" t="s">
        <v>138</v>
      </c>
    </row>
    <row r="101" spans="1:13" x14ac:dyDescent="0.2">
      <c r="A101" s="9" t="s">
        <v>28</v>
      </c>
      <c r="B101" s="25" t="s">
        <v>139</v>
      </c>
      <c r="C101" s="26" t="s">
        <v>140</v>
      </c>
      <c r="D101" s="26" t="s">
        <v>141</v>
      </c>
      <c r="E101" s="26" t="s">
        <v>142</v>
      </c>
      <c r="F101" s="26" t="s">
        <v>143</v>
      </c>
      <c r="G101" s="26" t="s">
        <v>144</v>
      </c>
      <c r="H101" s="26" t="s">
        <v>145</v>
      </c>
      <c r="I101" s="26" t="s">
        <v>146</v>
      </c>
      <c r="J101" s="26" t="s">
        <v>147</v>
      </c>
      <c r="K101" s="27" t="s">
        <v>148</v>
      </c>
      <c r="L101" s="26" t="s">
        <v>149</v>
      </c>
      <c r="M101" s="27" t="s">
        <v>150</v>
      </c>
    </row>
    <row r="102" spans="1:13" x14ac:dyDescent="0.2">
      <c r="A102" s="9" t="s">
        <v>29</v>
      </c>
      <c r="B102" s="28" t="s">
        <v>151</v>
      </c>
      <c r="C102" s="29" t="s">
        <v>152</v>
      </c>
      <c r="D102" s="29" t="s">
        <v>153</v>
      </c>
      <c r="E102" s="29" t="s">
        <v>154</v>
      </c>
      <c r="F102" s="29" t="s">
        <v>155</v>
      </c>
      <c r="G102" s="29" t="s">
        <v>156</v>
      </c>
      <c r="H102" s="29" t="s">
        <v>157</v>
      </c>
      <c r="I102" s="29" t="s">
        <v>158</v>
      </c>
      <c r="J102" s="29" t="s">
        <v>159</v>
      </c>
      <c r="K102" s="28" t="s">
        <v>160</v>
      </c>
      <c r="L102" s="29" t="s">
        <v>161</v>
      </c>
      <c r="M102" s="28" t="s">
        <v>162</v>
      </c>
    </row>
    <row r="103" spans="1:13" x14ac:dyDescent="0.2">
      <c r="A103" s="9" t="s">
        <v>31</v>
      </c>
      <c r="B103" s="30" t="s">
        <v>163</v>
      </c>
      <c r="C103" s="1" t="s">
        <v>164</v>
      </c>
      <c r="D103" s="1" t="s">
        <v>165</v>
      </c>
      <c r="E103" s="1" t="s">
        <v>166</v>
      </c>
      <c r="F103" s="1" t="s">
        <v>167</v>
      </c>
      <c r="G103" s="1" t="s">
        <v>168</v>
      </c>
      <c r="H103" s="1" t="s">
        <v>169</v>
      </c>
      <c r="I103" s="1" t="s">
        <v>170</v>
      </c>
      <c r="J103" s="1" t="s">
        <v>171</v>
      </c>
      <c r="K103" s="30" t="s">
        <v>172</v>
      </c>
      <c r="L103" s="1" t="s">
        <v>173</v>
      </c>
      <c r="M103" s="30" t="s">
        <v>174</v>
      </c>
    </row>
    <row r="105" spans="1:13" x14ac:dyDescent="0.2">
      <c r="B105" t="s">
        <v>175</v>
      </c>
    </row>
    <row r="106" spans="1:13" x14ac:dyDescent="0.2">
      <c r="A106" t="s">
        <v>176</v>
      </c>
    </row>
    <row r="107" spans="1:13" x14ac:dyDescent="0.2">
      <c r="B107" s="1">
        <v>1</v>
      </c>
      <c r="C107" s="1">
        <v>2</v>
      </c>
      <c r="D107" s="1">
        <v>3</v>
      </c>
      <c r="E107" s="1">
        <v>4</v>
      </c>
      <c r="F107" s="1">
        <v>5</v>
      </c>
      <c r="G107" s="1">
        <v>6</v>
      </c>
      <c r="H107" s="1">
        <v>7</v>
      </c>
      <c r="I107" s="1">
        <v>8</v>
      </c>
      <c r="J107" s="1">
        <v>9</v>
      </c>
      <c r="K107" s="1">
        <v>10</v>
      </c>
      <c r="L107" s="1">
        <v>11</v>
      </c>
      <c r="M107" s="1">
        <v>12</v>
      </c>
    </row>
    <row r="108" spans="1:13" x14ac:dyDescent="0.2">
      <c r="A108" t="s">
        <v>1</v>
      </c>
      <c r="B108" s="31" t="s">
        <v>177</v>
      </c>
      <c r="C108" s="32" t="s">
        <v>178</v>
      </c>
      <c r="D108" s="33" t="s">
        <v>179</v>
      </c>
      <c r="E108" s="34" t="s">
        <v>180</v>
      </c>
      <c r="F108" s="35" t="s">
        <v>181</v>
      </c>
      <c r="G108" s="36" t="s">
        <v>182</v>
      </c>
      <c r="H108" s="37" t="s">
        <v>183</v>
      </c>
      <c r="I108" t="s">
        <v>10</v>
      </c>
    </row>
    <row r="109" spans="1:13" x14ac:dyDescent="0.2">
      <c r="A109" t="s">
        <v>22</v>
      </c>
      <c r="B109" s="31" t="s">
        <v>177</v>
      </c>
      <c r="C109" s="32" t="s">
        <v>178</v>
      </c>
      <c r="D109" s="33" t="s">
        <v>179</v>
      </c>
      <c r="E109" s="34" t="s">
        <v>180</v>
      </c>
      <c r="F109" s="35" t="s">
        <v>181</v>
      </c>
      <c r="G109" s="36" t="s">
        <v>182</v>
      </c>
      <c r="H109" s="37" t="s">
        <v>183</v>
      </c>
      <c r="I109" t="s">
        <v>10</v>
      </c>
    </row>
    <row r="110" spans="1:13" x14ac:dyDescent="0.2">
      <c r="A110" t="s">
        <v>23</v>
      </c>
      <c r="B110" s="31" t="s">
        <v>177</v>
      </c>
      <c r="C110" s="32" t="s">
        <v>178</v>
      </c>
      <c r="D110" s="33" t="s">
        <v>179</v>
      </c>
      <c r="E110" s="34" t="s">
        <v>180</v>
      </c>
      <c r="F110" s="35" t="s">
        <v>181</v>
      </c>
      <c r="G110" s="36" t="s">
        <v>182</v>
      </c>
      <c r="H110" s="37" t="s">
        <v>183</v>
      </c>
      <c r="I110" t="s">
        <v>10</v>
      </c>
    </row>
    <row r="111" spans="1:13" x14ac:dyDescent="0.2">
      <c r="A111" t="s">
        <v>25</v>
      </c>
      <c r="B111" s="31" t="s">
        <v>177</v>
      </c>
      <c r="C111" s="32" t="s">
        <v>178</v>
      </c>
      <c r="D111" s="33" t="s">
        <v>179</v>
      </c>
      <c r="E111" s="34" t="s">
        <v>180</v>
      </c>
      <c r="F111" s="35" t="s">
        <v>181</v>
      </c>
      <c r="G111" s="36" t="s">
        <v>182</v>
      </c>
      <c r="H111" s="37" t="s">
        <v>183</v>
      </c>
      <c r="I111" t="s">
        <v>10</v>
      </c>
    </row>
    <row r="112" spans="1:13" x14ac:dyDescent="0.2">
      <c r="A112" t="s">
        <v>26</v>
      </c>
      <c r="B112" s="31" t="s">
        <v>177</v>
      </c>
      <c r="C112" s="32" t="s">
        <v>178</v>
      </c>
      <c r="D112" s="33" t="s">
        <v>179</v>
      </c>
      <c r="E112" s="34" t="s">
        <v>180</v>
      </c>
      <c r="F112" s="35" t="s">
        <v>181</v>
      </c>
      <c r="G112" s="36" t="s">
        <v>182</v>
      </c>
      <c r="H112" s="37" t="s">
        <v>183</v>
      </c>
      <c r="I112" t="s">
        <v>10</v>
      </c>
    </row>
    <row r="113" spans="1:9" x14ac:dyDescent="0.2">
      <c r="A113" t="s">
        <v>28</v>
      </c>
      <c r="B113" s="31" t="s">
        <v>177</v>
      </c>
      <c r="C113" s="32" t="s">
        <v>178</v>
      </c>
      <c r="D113" s="33" t="s">
        <v>179</v>
      </c>
      <c r="E113" s="34" t="s">
        <v>180</v>
      </c>
      <c r="F113" s="35" t="s">
        <v>181</v>
      </c>
      <c r="G113" s="36" t="s">
        <v>182</v>
      </c>
      <c r="H113" s="37" t="s">
        <v>183</v>
      </c>
      <c r="I113" t="s">
        <v>10</v>
      </c>
    </row>
    <row r="114" spans="1:9" x14ac:dyDescent="0.2">
      <c r="A114" t="s">
        <v>29</v>
      </c>
      <c r="B114" s="31" t="s">
        <v>177</v>
      </c>
      <c r="C114" s="32" t="s">
        <v>178</v>
      </c>
      <c r="D114" s="33" t="s">
        <v>179</v>
      </c>
      <c r="E114" s="34" t="s">
        <v>180</v>
      </c>
      <c r="F114" s="35" t="s">
        <v>181</v>
      </c>
      <c r="G114" s="36" t="s">
        <v>182</v>
      </c>
      <c r="H114" s="37" t="s">
        <v>183</v>
      </c>
      <c r="I114" t="s">
        <v>10</v>
      </c>
    </row>
    <row r="115" spans="1:9" x14ac:dyDescent="0.2">
      <c r="A115" t="s">
        <v>31</v>
      </c>
      <c r="B115" s="31" t="s">
        <v>177</v>
      </c>
      <c r="C115" s="32" t="s">
        <v>178</v>
      </c>
      <c r="D115" s="33" t="s">
        <v>179</v>
      </c>
      <c r="E115" s="34" t="s">
        <v>180</v>
      </c>
      <c r="F115" s="35" t="s">
        <v>181</v>
      </c>
      <c r="G115" s="36" t="s">
        <v>182</v>
      </c>
      <c r="H115" s="37" t="s">
        <v>183</v>
      </c>
      <c r="I115" t="s">
        <v>10</v>
      </c>
    </row>
  </sheetData>
  <mergeCells count="1">
    <mergeCell ref="O1:S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3C1E-DBF7-074D-9541-CE78FA06EC08}">
  <dimension ref="A1:D22"/>
  <sheetViews>
    <sheetView workbookViewId="0">
      <selection activeCell="C27" sqref="C27"/>
    </sheetView>
  </sheetViews>
  <sheetFormatPr baseColWidth="10" defaultRowHeight="16" x14ac:dyDescent="0.2"/>
  <cols>
    <col min="2" max="2" width="25.6640625" customWidth="1"/>
    <col min="3" max="3" width="19" customWidth="1"/>
    <col min="4" max="4" width="19.83203125" customWidth="1"/>
  </cols>
  <sheetData>
    <row r="1" spans="1:4" x14ac:dyDescent="0.2">
      <c r="A1" s="48" t="s">
        <v>215</v>
      </c>
      <c r="B1" s="48" t="s">
        <v>216</v>
      </c>
      <c r="C1" s="48" t="s">
        <v>217</v>
      </c>
      <c r="D1" s="48" t="s">
        <v>218</v>
      </c>
    </row>
    <row r="2" spans="1:4" x14ac:dyDescent="0.2">
      <c r="A2" s="48">
        <v>40</v>
      </c>
      <c r="B2" s="48">
        <v>4</v>
      </c>
      <c r="C2" s="48">
        <v>4000</v>
      </c>
      <c r="D2" s="48">
        <v>6000</v>
      </c>
    </row>
    <row r="3" spans="1:4" x14ac:dyDescent="0.2">
      <c r="A3" s="48">
        <v>30</v>
      </c>
      <c r="B3" s="48">
        <v>3</v>
      </c>
      <c r="C3" s="48">
        <v>3000</v>
      </c>
      <c r="D3" s="48">
        <v>7000</v>
      </c>
    </row>
    <row r="4" spans="1:4" x14ac:dyDescent="0.2">
      <c r="A4" s="49">
        <v>20</v>
      </c>
      <c r="B4" s="49">
        <v>2</v>
      </c>
      <c r="C4" s="49">
        <v>2000</v>
      </c>
      <c r="D4" s="49">
        <v>8000</v>
      </c>
    </row>
    <row r="5" spans="1:4" x14ac:dyDescent="0.2">
      <c r="A5" s="49">
        <v>15</v>
      </c>
      <c r="B5" s="49">
        <v>1.5</v>
      </c>
      <c r="C5" s="49">
        <v>1500</v>
      </c>
      <c r="D5" s="49">
        <v>8500</v>
      </c>
    </row>
    <row r="6" spans="1:4" x14ac:dyDescent="0.2">
      <c r="A6" s="49">
        <v>10</v>
      </c>
      <c r="B6" s="49">
        <v>1</v>
      </c>
      <c r="C6" s="49">
        <v>1000</v>
      </c>
      <c r="D6" s="49">
        <v>9000</v>
      </c>
    </row>
    <row r="7" spans="1:4" x14ac:dyDescent="0.2">
      <c r="A7" s="49">
        <v>7.5</v>
      </c>
      <c r="B7" s="49">
        <v>0.75</v>
      </c>
      <c r="C7" s="49">
        <v>750</v>
      </c>
      <c r="D7" s="49">
        <v>9250</v>
      </c>
    </row>
    <row r="8" spans="1:4" x14ac:dyDescent="0.2">
      <c r="A8" s="49">
        <v>5</v>
      </c>
      <c r="B8" s="49">
        <v>0.5</v>
      </c>
      <c r="C8" s="49">
        <v>500</v>
      </c>
      <c r="D8" s="49">
        <v>9500</v>
      </c>
    </row>
    <row r="9" spans="1:4" x14ac:dyDescent="0.2">
      <c r="A9" s="49">
        <v>3.15</v>
      </c>
      <c r="B9" s="49">
        <v>0.315</v>
      </c>
      <c r="C9" s="49">
        <v>315</v>
      </c>
      <c r="D9" s="49">
        <v>9685</v>
      </c>
    </row>
    <row r="10" spans="1:4" x14ac:dyDescent="0.2">
      <c r="A10" s="49">
        <v>0.8</v>
      </c>
      <c r="B10" s="49">
        <v>0.08</v>
      </c>
      <c r="C10" s="49">
        <v>80</v>
      </c>
      <c r="D10" s="49">
        <v>9920</v>
      </c>
    </row>
    <row r="14" spans="1:4" x14ac:dyDescent="0.2">
      <c r="B14" s="48" t="s">
        <v>216</v>
      </c>
      <c r="C14" s="48" t="s">
        <v>217</v>
      </c>
      <c r="D14" s="48" t="s">
        <v>218</v>
      </c>
    </row>
    <row r="15" spans="1:4" x14ac:dyDescent="0.2">
      <c r="A15">
        <v>0</v>
      </c>
      <c r="B15">
        <v>0</v>
      </c>
      <c r="C15">
        <f>B15*1000</f>
        <v>0</v>
      </c>
      <c r="D15">
        <f>10000-C15</f>
        <v>10000</v>
      </c>
    </row>
    <row r="16" spans="1:4" x14ac:dyDescent="0.2">
      <c r="A16">
        <v>2.5</v>
      </c>
      <c r="B16">
        <v>0.25</v>
      </c>
      <c r="C16">
        <f t="shared" ref="C16:C22" si="0">B16*1000</f>
        <v>250</v>
      </c>
      <c r="D16">
        <f t="shared" ref="D16:D22" si="1">10000-C16</f>
        <v>9750</v>
      </c>
    </row>
    <row r="17" spans="1:4" x14ac:dyDescent="0.2">
      <c r="A17">
        <v>5</v>
      </c>
      <c r="B17">
        <v>0.5</v>
      </c>
      <c r="C17">
        <f t="shared" si="0"/>
        <v>500</v>
      </c>
      <c r="D17">
        <f t="shared" si="1"/>
        <v>9500</v>
      </c>
    </row>
    <row r="18" spans="1:4" x14ac:dyDescent="0.2">
      <c r="A18">
        <v>10</v>
      </c>
      <c r="B18">
        <v>1</v>
      </c>
      <c r="C18">
        <f t="shared" si="0"/>
        <v>1000</v>
      </c>
      <c r="D18">
        <f t="shared" si="1"/>
        <v>9000</v>
      </c>
    </row>
    <row r="19" spans="1:4" x14ac:dyDescent="0.2">
      <c r="A19">
        <v>20</v>
      </c>
      <c r="B19">
        <v>2</v>
      </c>
      <c r="C19">
        <f t="shared" si="0"/>
        <v>2000</v>
      </c>
      <c r="D19">
        <f t="shared" si="1"/>
        <v>8000</v>
      </c>
    </row>
    <row r="20" spans="1:4" x14ac:dyDescent="0.2">
      <c r="A20">
        <v>30</v>
      </c>
      <c r="B20">
        <v>3</v>
      </c>
      <c r="C20">
        <f t="shared" si="0"/>
        <v>3000</v>
      </c>
      <c r="D20">
        <f t="shared" si="1"/>
        <v>7000</v>
      </c>
    </row>
    <row r="21" spans="1:4" x14ac:dyDescent="0.2">
      <c r="A21">
        <v>40</v>
      </c>
      <c r="B21">
        <v>4</v>
      </c>
      <c r="C21">
        <f t="shared" si="0"/>
        <v>4000</v>
      </c>
      <c r="D21">
        <f t="shared" si="1"/>
        <v>6000</v>
      </c>
    </row>
    <row r="22" spans="1:4" x14ac:dyDescent="0.2">
      <c r="A22">
        <v>50</v>
      </c>
      <c r="B22">
        <v>5</v>
      </c>
      <c r="C22">
        <f t="shared" si="0"/>
        <v>5000</v>
      </c>
      <c r="D22">
        <f t="shared" si="1"/>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44A89-5482-6646-9ECC-90A1C7C4966F}">
  <dimension ref="A1:E37"/>
  <sheetViews>
    <sheetView tabSelected="1" workbookViewId="0">
      <selection activeCell="G21" sqref="G21"/>
    </sheetView>
  </sheetViews>
  <sheetFormatPr baseColWidth="10" defaultRowHeight="16" x14ac:dyDescent="0.2"/>
  <cols>
    <col min="3" max="3" width="15.83203125" customWidth="1"/>
    <col min="4" max="4" width="12.33203125" customWidth="1"/>
  </cols>
  <sheetData>
    <row r="1" spans="1:5" x14ac:dyDescent="0.2">
      <c r="A1" s="59" t="s">
        <v>246</v>
      </c>
      <c r="B1" s="59" t="s">
        <v>247</v>
      </c>
      <c r="C1" s="59" t="s">
        <v>248</v>
      </c>
      <c r="D1" s="59" t="s">
        <v>249</v>
      </c>
      <c r="E1" s="59" t="s">
        <v>250</v>
      </c>
    </row>
    <row r="2" spans="1:5" x14ac:dyDescent="0.2">
      <c r="A2">
        <v>1</v>
      </c>
      <c r="B2">
        <v>1</v>
      </c>
      <c r="C2" t="s">
        <v>251</v>
      </c>
      <c r="D2" t="s">
        <v>252</v>
      </c>
    </row>
    <row r="3" spans="1:5" x14ac:dyDescent="0.2">
      <c r="A3">
        <v>1</v>
      </c>
      <c r="B3">
        <v>2</v>
      </c>
      <c r="C3" t="s">
        <v>253</v>
      </c>
      <c r="D3" t="s">
        <v>254</v>
      </c>
    </row>
    <row r="4" spans="1:5" x14ac:dyDescent="0.2">
      <c r="A4">
        <v>1</v>
      </c>
      <c r="B4">
        <v>3</v>
      </c>
      <c r="C4" t="s">
        <v>255</v>
      </c>
      <c r="D4" t="s">
        <v>256</v>
      </c>
    </row>
    <row r="5" spans="1:5" x14ac:dyDescent="0.2">
      <c r="A5">
        <v>1</v>
      </c>
      <c r="B5">
        <v>4</v>
      </c>
      <c r="C5" t="s">
        <v>257</v>
      </c>
      <c r="D5" t="s">
        <v>258</v>
      </c>
    </row>
    <row r="6" spans="1:5" x14ac:dyDescent="0.2">
      <c r="A6">
        <v>1</v>
      </c>
      <c r="B6">
        <v>5</v>
      </c>
      <c r="C6" s="9" t="s">
        <v>259</v>
      </c>
      <c r="D6" s="9" t="s">
        <v>260</v>
      </c>
    </row>
    <row r="7" spans="1:5" x14ac:dyDescent="0.2">
      <c r="A7">
        <v>1</v>
      </c>
      <c r="B7">
        <v>6</v>
      </c>
      <c r="C7" s="9" t="s">
        <v>261</v>
      </c>
      <c r="D7" s="9" t="s">
        <v>262</v>
      </c>
    </row>
    <row r="8" spans="1:5" x14ac:dyDescent="0.2">
      <c r="A8">
        <v>2</v>
      </c>
      <c r="B8">
        <v>7</v>
      </c>
      <c r="C8" s="9" t="s">
        <v>263</v>
      </c>
      <c r="D8" s="9" t="s">
        <v>264</v>
      </c>
    </row>
    <row r="9" spans="1:5" x14ac:dyDescent="0.2">
      <c r="A9">
        <v>2</v>
      </c>
      <c r="B9">
        <v>8</v>
      </c>
      <c r="C9" s="9" t="s">
        <v>265</v>
      </c>
      <c r="D9" s="9" t="s">
        <v>266</v>
      </c>
    </row>
    <row r="10" spans="1:5" x14ac:dyDescent="0.2">
      <c r="A10">
        <v>2</v>
      </c>
      <c r="B10">
        <v>9</v>
      </c>
      <c r="C10" s="9" t="s">
        <v>267</v>
      </c>
      <c r="D10" s="9" t="s">
        <v>268</v>
      </c>
    </row>
    <row r="11" spans="1:5" x14ac:dyDescent="0.2">
      <c r="A11">
        <v>2</v>
      </c>
      <c r="B11">
        <v>10</v>
      </c>
      <c r="C11" t="s">
        <v>269</v>
      </c>
      <c r="D11" t="s">
        <v>270</v>
      </c>
    </row>
    <row r="12" spans="1:5" x14ac:dyDescent="0.2">
      <c r="A12">
        <v>2</v>
      </c>
      <c r="B12">
        <v>11</v>
      </c>
      <c r="C12" t="s">
        <v>271</v>
      </c>
      <c r="D12" t="s">
        <v>272</v>
      </c>
    </row>
    <row r="13" spans="1:5" x14ac:dyDescent="0.2">
      <c r="A13">
        <v>2</v>
      </c>
      <c r="B13">
        <v>12</v>
      </c>
      <c r="C13" t="s">
        <v>273</v>
      </c>
      <c r="D13" t="s">
        <v>274</v>
      </c>
    </row>
    <row r="14" spans="1:5" x14ac:dyDescent="0.2">
      <c r="A14">
        <v>3</v>
      </c>
      <c r="B14">
        <v>13</v>
      </c>
      <c r="C14" t="s">
        <v>275</v>
      </c>
      <c r="D14" t="s">
        <v>276</v>
      </c>
    </row>
    <row r="15" spans="1:5" x14ac:dyDescent="0.2">
      <c r="A15">
        <v>3</v>
      </c>
      <c r="B15">
        <v>14</v>
      </c>
      <c r="C15" s="9" t="s">
        <v>277</v>
      </c>
      <c r="D15" s="9" t="s">
        <v>278</v>
      </c>
    </row>
    <row r="16" spans="1:5" x14ac:dyDescent="0.2">
      <c r="A16">
        <v>3</v>
      </c>
      <c r="B16">
        <v>15</v>
      </c>
      <c r="C16" s="9" t="s">
        <v>279</v>
      </c>
      <c r="D16" s="9" t="s">
        <v>280</v>
      </c>
    </row>
    <row r="17" spans="1:4" x14ac:dyDescent="0.2">
      <c r="A17">
        <v>3</v>
      </c>
      <c r="B17">
        <v>16</v>
      </c>
      <c r="C17" s="9" t="s">
        <v>281</v>
      </c>
      <c r="D17" s="9" t="s">
        <v>282</v>
      </c>
    </row>
    <row r="18" spans="1:4" x14ac:dyDescent="0.2">
      <c r="A18">
        <v>3</v>
      </c>
      <c r="B18">
        <v>17</v>
      </c>
      <c r="C18" s="9" t="s">
        <v>283</v>
      </c>
      <c r="D18" s="9" t="s">
        <v>284</v>
      </c>
    </row>
    <row r="19" spans="1:4" x14ac:dyDescent="0.2">
      <c r="A19">
        <v>3</v>
      </c>
      <c r="B19">
        <v>18</v>
      </c>
      <c r="C19" s="9" t="s">
        <v>285</v>
      </c>
      <c r="D19" s="9" t="s">
        <v>286</v>
      </c>
    </row>
    <row r="20" spans="1:4" x14ac:dyDescent="0.2">
      <c r="A20">
        <v>4</v>
      </c>
      <c r="B20">
        <v>19</v>
      </c>
      <c r="C20" s="9" t="s">
        <v>287</v>
      </c>
      <c r="D20" s="9" t="s">
        <v>288</v>
      </c>
    </row>
    <row r="21" spans="1:4" x14ac:dyDescent="0.2">
      <c r="A21">
        <v>4</v>
      </c>
      <c r="B21">
        <v>20</v>
      </c>
      <c r="C21" s="9" t="s">
        <v>289</v>
      </c>
      <c r="D21" s="9" t="s">
        <v>290</v>
      </c>
    </row>
    <row r="22" spans="1:4" x14ac:dyDescent="0.2">
      <c r="A22">
        <v>4</v>
      </c>
      <c r="B22">
        <v>21</v>
      </c>
      <c r="C22" s="9" t="s">
        <v>291</v>
      </c>
      <c r="D22" s="9" t="s">
        <v>292</v>
      </c>
    </row>
    <row r="23" spans="1:4" x14ac:dyDescent="0.2">
      <c r="A23">
        <v>5</v>
      </c>
      <c r="B23">
        <v>22</v>
      </c>
      <c r="C23" s="9" t="s">
        <v>293</v>
      </c>
      <c r="D23" s="9" t="s">
        <v>294</v>
      </c>
    </row>
    <row r="24" spans="1:4" x14ac:dyDescent="0.2">
      <c r="A24">
        <v>5</v>
      </c>
      <c r="B24">
        <v>23</v>
      </c>
      <c r="C24" s="9" t="s">
        <v>295</v>
      </c>
      <c r="D24" s="9" t="s">
        <v>296</v>
      </c>
    </row>
    <row r="25" spans="1:4" x14ac:dyDescent="0.2">
      <c r="A25">
        <v>5</v>
      </c>
      <c r="B25">
        <v>24</v>
      </c>
      <c r="C25" s="9" t="s">
        <v>297</v>
      </c>
      <c r="D25" s="9" t="s">
        <v>298</v>
      </c>
    </row>
    <row r="26" spans="1:4" x14ac:dyDescent="0.2">
      <c r="A26">
        <v>5</v>
      </c>
      <c r="B26">
        <v>25</v>
      </c>
      <c r="C26" s="9" t="s">
        <v>299</v>
      </c>
      <c r="D26" s="9" t="s">
        <v>300</v>
      </c>
    </row>
    <row r="27" spans="1:4" x14ac:dyDescent="0.2">
      <c r="A27">
        <v>5</v>
      </c>
      <c r="B27">
        <v>26</v>
      </c>
      <c r="C27" s="9" t="s">
        <v>301</v>
      </c>
      <c r="D27" s="9" t="s">
        <v>302</v>
      </c>
    </row>
    <row r="28" spans="1:4" x14ac:dyDescent="0.2">
      <c r="A28">
        <v>5</v>
      </c>
      <c r="B28">
        <v>27</v>
      </c>
      <c r="C28" s="9" t="s">
        <v>303</v>
      </c>
      <c r="D28" s="9" t="s">
        <v>304</v>
      </c>
    </row>
    <row r="29" spans="1:4" x14ac:dyDescent="0.2">
      <c r="A29">
        <v>6</v>
      </c>
      <c r="B29">
        <v>28</v>
      </c>
      <c r="C29" s="9" t="s">
        <v>305</v>
      </c>
      <c r="D29" s="9" t="s">
        <v>306</v>
      </c>
    </row>
    <row r="30" spans="1:4" x14ac:dyDescent="0.2">
      <c r="A30">
        <v>6</v>
      </c>
      <c r="B30">
        <v>29</v>
      </c>
      <c r="C30" s="9" t="s">
        <v>307</v>
      </c>
      <c r="D30" s="9" t="s">
        <v>308</v>
      </c>
    </row>
    <row r="31" spans="1:4" x14ac:dyDescent="0.2">
      <c r="A31">
        <v>6</v>
      </c>
      <c r="B31">
        <v>30</v>
      </c>
      <c r="C31" s="9" t="s">
        <v>309</v>
      </c>
      <c r="D31" s="9" t="s">
        <v>310</v>
      </c>
    </row>
    <row r="32" spans="1:4" x14ac:dyDescent="0.2">
      <c r="A32">
        <v>6</v>
      </c>
      <c r="B32">
        <v>31</v>
      </c>
      <c r="C32" s="9" t="s">
        <v>311</v>
      </c>
      <c r="D32" s="9" t="s">
        <v>312</v>
      </c>
    </row>
    <row r="33" spans="1:4" x14ac:dyDescent="0.2">
      <c r="A33">
        <v>6</v>
      </c>
      <c r="B33">
        <v>32</v>
      </c>
      <c r="C33" s="9" t="s">
        <v>313</v>
      </c>
      <c r="D33" s="9" t="s">
        <v>314</v>
      </c>
    </row>
    <row r="34" spans="1:4" x14ac:dyDescent="0.2">
      <c r="A34">
        <v>6</v>
      </c>
      <c r="B34">
        <v>33</v>
      </c>
      <c r="C34" s="9" t="s">
        <v>315</v>
      </c>
      <c r="D34" s="9" t="s">
        <v>316</v>
      </c>
    </row>
    <row r="35" spans="1:4" x14ac:dyDescent="0.2">
      <c r="A35">
        <v>7</v>
      </c>
      <c r="B35">
        <v>34</v>
      </c>
      <c r="C35" s="9" t="s">
        <v>317</v>
      </c>
      <c r="D35" s="9" t="s">
        <v>318</v>
      </c>
    </row>
    <row r="36" spans="1:4" x14ac:dyDescent="0.2">
      <c r="A36">
        <v>7</v>
      </c>
      <c r="B36">
        <v>35</v>
      </c>
      <c r="C36" s="9" t="s">
        <v>319</v>
      </c>
      <c r="D36" s="9" t="s">
        <v>320</v>
      </c>
    </row>
    <row r="37" spans="1:4" x14ac:dyDescent="0.2">
      <c r="A37">
        <v>7</v>
      </c>
      <c r="B37">
        <v>36</v>
      </c>
      <c r="C37" s="9" t="s">
        <v>321</v>
      </c>
      <c r="D37" s="9"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Plate setup</vt:lpstr>
      <vt:lpstr>MUB+AMC standards</vt:lpstr>
      <vt:lpstr>Key for 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Leigh Martinez</dc:creator>
  <cp:lastModifiedBy>Andrea Leigh Martinez</cp:lastModifiedBy>
  <dcterms:created xsi:type="dcterms:W3CDTF">2026-05-26T17:33:10Z</dcterms:created>
  <dcterms:modified xsi:type="dcterms:W3CDTF">2026-05-26T18:52:45Z</dcterms:modified>
</cp:coreProperties>
</file>