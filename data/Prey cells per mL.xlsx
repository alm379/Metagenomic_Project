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iemartinez/Desktop/Metagenomic_Project/data/"/>
    </mc:Choice>
  </mc:AlternateContent>
  <xr:revisionPtr revIDLastSave="0" documentId="8_{72E8FBE1-3DF4-114F-AE76-B45765E582BA}" xr6:coauthVersionLast="47" xr6:coauthVersionMax="47" xr10:uidLastSave="{00000000-0000-0000-0000-000000000000}"/>
  <bookViews>
    <workbookView xWindow="1180" yWindow="1500" windowWidth="27240" windowHeight="15280" xr2:uid="{B824DD54-6097-884E-8F64-6C78041F5C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3" i="1"/>
  <c r="F14" i="1"/>
  <c r="F15" i="1"/>
  <c r="F16" i="1"/>
  <c r="F4" i="1"/>
  <c r="E16" i="1"/>
  <c r="E15" i="1"/>
  <c r="E14" i="1"/>
  <c r="E13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<sst xmlns="http://schemas.openxmlformats.org/spreadsheetml/2006/main" count="40" uniqueCount="16">
  <si>
    <t>dilution</t>
  </si>
  <si>
    <t>control</t>
  </si>
  <si>
    <t>N/A</t>
  </si>
  <si>
    <t>bacillus</t>
  </si>
  <si>
    <t>10^-3</t>
  </si>
  <si>
    <t>10^-4</t>
  </si>
  <si>
    <t>date</t>
  </si>
  <si>
    <t>10^-5</t>
  </si>
  <si>
    <t>pseudomonas</t>
  </si>
  <si>
    <t>TMTC/lawn</t>
  </si>
  <si>
    <t>10^-6</t>
  </si>
  <si>
    <t>TMTC, &gt;1000</t>
  </si>
  <si>
    <t>cells per mil 0D600 = 0.6</t>
  </si>
  <si>
    <t>CFU in 100 ul</t>
  </si>
  <si>
    <t>Isolate</t>
  </si>
  <si>
    <t>cells in 300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</si>
</sst>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D5A8-0F64-114E-AEFD-CA7B2B8537B2}">
  <dimension ref="A1:G16"/>
  <sheetViews>
    <sheetView tabSelected="1" workbookViewId="0">
      <selection activeCell="K11" sqref="K11"/>
    </sheetView>
  </sheetViews>
  <sheetFormatPr baseColWidth="10" defaultRowHeight="16" x14ac:dyDescent="0.2"/>
  <cols>
    <col min="1" max="1" width="14.6640625" customWidth="1"/>
    <col min="3" max="3" width="15.6640625" customWidth="1"/>
    <col min="5" max="5" width="24.83203125" style="3" customWidth="1"/>
    <col min="6" max="6" width="16.33203125" customWidth="1"/>
    <col min="7" max="7" width="13.1640625" customWidth="1"/>
  </cols>
  <sheetData>
    <row r="1" spans="1:7" x14ac:dyDescent="0.2">
      <c r="A1" t="s">
        <v>14</v>
      </c>
      <c r="B1" t="s">
        <v>0</v>
      </c>
      <c r="C1" t="s">
        <v>13</v>
      </c>
      <c r="D1" t="s">
        <v>6</v>
      </c>
      <c r="E1" s="3" t="s">
        <v>12</v>
      </c>
      <c r="F1" t="s">
        <v>15</v>
      </c>
    </row>
    <row r="2" spans="1:7" x14ac:dyDescent="0.2">
      <c r="A2" t="s">
        <v>1</v>
      </c>
      <c r="B2" t="s">
        <v>2</v>
      </c>
      <c r="C2">
        <v>0</v>
      </c>
      <c r="D2" s="2">
        <v>46180</v>
      </c>
      <c r="G2" s="3"/>
    </row>
    <row r="3" spans="1:7" x14ac:dyDescent="0.2">
      <c r="A3" t="s">
        <v>3</v>
      </c>
      <c r="B3" s="1" t="s">
        <v>4</v>
      </c>
      <c r="C3" t="s">
        <v>11</v>
      </c>
      <c r="D3" s="2">
        <v>46180</v>
      </c>
    </row>
    <row r="4" spans="1:7" x14ac:dyDescent="0.2">
      <c r="A4" t="s">
        <v>3</v>
      </c>
      <c r="B4" s="1" t="s">
        <v>5</v>
      </c>
      <c r="C4">
        <v>177</v>
      </c>
      <c r="D4" s="2">
        <v>46180</v>
      </c>
      <c r="E4" s="3">
        <f>C4*10^4*10</f>
        <v>17700000</v>
      </c>
      <c r="F4" s="3">
        <f>E4*0.3</f>
        <v>5310000</v>
      </c>
      <c r="G4" s="3"/>
    </row>
    <row r="5" spans="1:7" x14ac:dyDescent="0.2">
      <c r="A5" t="s">
        <v>3</v>
      </c>
      <c r="B5" s="1" t="s">
        <v>5</v>
      </c>
      <c r="C5">
        <v>158</v>
      </c>
      <c r="D5" s="2">
        <v>46180</v>
      </c>
      <c r="E5" s="3">
        <f>C5*10^4*10</f>
        <v>15800000</v>
      </c>
      <c r="F5" s="3">
        <f t="shared" ref="F5:F16" si="0">E5*0.3</f>
        <v>4740000</v>
      </c>
    </row>
    <row r="6" spans="1:7" x14ac:dyDescent="0.2">
      <c r="A6" t="s">
        <v>3</v>
      </c>
      <c r="B6" s="1" t="s">
        <v>7</v>
      </c>
      <c r="C6">
        <v>15</v>
      </c>
      <c r="D6" s="2">
        <v>46180</v>
      </c>
      <c r="E6" s="3">
        <f>C6*10^5*10</f>
        <v>15000000</v>
      </c>
      <c r="F6" s="3">
        <f t="shared" si="0"/>
        <v>4500000</v>
      </c>
    </row>
    <row r="7" spans="1:7" x14ac:dyDescent="0.2">
      <c r="A7" t="s">
        <v>3</v>
      </c>
      <c r="B7" s="1" t="s">
        <v>7</v>
      </c>
      <c r="C7">
        <v>16</v>
      </c>
      <c r="D7" s="2">
        <v>46180</v>
      </c>
      <c r="E7" s="3">
        <f>C7*10^5*10</f>
        <v>16000000</v>
      </c>
      <c r="F7" s="3">
        <f t="shared" si="0"/>
        <v>4800000</v>
      </c>
    </row>
    <row r="8" spans="1:7" x14ac:dyDescent="0.2">
      <c r="A8" t="s">
        <v>3</v>
      </c>
      <c r="B8" s="1" t="s">
        <v>10</v>
      </c>
      <c r="C8">
        <v>0</v>
      </c>
      <c r="D8" s="2">
        <v>46180</v>
      </c>
      <c r="E8" s="3">
        <f>C8*10^6*10</f>
        <v>0</v>
      </c>
      <c r="F8" s="3">
        <f t="shared" si="0"/>
        <v>0</v>
      </c>
    </row>
    <row r="9" spans="1:7" x14ac:dyDescent="0.2">
      <c r="A9" t="s">
        <v>3</v>
      </c>
      <c r="B9" s="1" t="s">
        <v>10</v>
      </c>
      <c r="C9">
        <v>1</v>
      </c>
      <c r="D9" s="2">
        <v>46180</v>
      </c>
      <c r="E9" s="3">
        <f>C9*10^6*10</f>
        <v>10000000</v>
      </c>
      <c r="F9" s="3">
        <f t="shared" si="0"/>
        <v>3000000</v>
      </c>
    </row>
    <row r="10" spans="1:7" x14ac:dyDescent="0.2">
      <c r="A10" t="s">
        <v>8</v>
      </c>
      <c r="B10" s="1" t="s">
        <v>4</v>
      </c>
      <c r="C10" t="s">
        <v>9</v>
      </c>
      <c r="D10" s="2">
        <v>46180</v>
      </c>
      <c r="F10" s="3"/>
    </row>
    <row r="11" spans="1:7" x14ac:dyDescent="0.2">
      <c r="A11" t="s">
        <v>8</v>
      </c>
      <c r="B11" s="1" t="s">
        <v>5</v>
      </c>
      <c r="C11" t="s">
        <v>11</v>
      </c>
      <c r="D11" s="2">
        <v>46180</v>
      </c>
      <c r="F11" s="3"/>
    </row>
    <row r="12" spans="1:7" x14ac:dyDescent="0.2">
      <c r="A12" t="s">
        <v>8</v>
      </c>
      <c r="B12" s="1" t="s">
        <v>5</v>
      </c>
      <c r="C12" t="s">
        <v>11</v>
      </c>
      <c r="D12" s="2">
        <v>46180</v>
      </c>
      <c r="F12" s="3"/>
    </row>
    <row r="13" spans="1:7" x14ac:dyDescent="0.2">
      <c r="A13" t="s">
        <v>8</v>
      </c>
      <c r="B13" s="1" t="s">
        <v>7</v>
      </c>
      <c r="C13">
        <v>435</v>
      </c>
      <c r="D13" s="2">
        <v>46180</v>
      </c>
      <c r="E13" s="3">
        <f>C13*10^5*10</f>
        <v>435000000</v>
      </c>
      <c r="F13" s="3">
        <f t="shared" si="0"/>
        <v>130500000</v>
      </c>
    </row>
    <row r="14" spans="1:7" x14ac:dyDescent="0.2">
      <c r="A14" t="s">
        <v>8</v>
      </c>
      <c r="B14" s="1" t="s">
        <v>7</v>
      </c>
      <c r="C14">
        <v>378</v>
      </c>
      <c r="D14" s="2">
        <v>46180</v>
      </c>
      <c r="E14" s="3">
        <f>C14*10^5*10</f>
        <v>378000000</v>
      </c>
      <c r="F14" s="3">
        <f t="shared" si="0"/>
        <v>113400000</v>
      </c>
    </row>
    <row r="15" spans="1:7" x14ac:dyDescent="0.2">
      <c r="A15" t="s">
        <v>8</v>
      </c>
      <c r="B15" s="1" t="s">
        <v>10</v>
      </c>
      <c r="C15">
        <v>41</v>
      </c>
      <c r="D15" s="2">
        <v>46180</v>
      </c>
      <c r="E15" s="3">
        <f>C15*10^6*10</f>
        <v>410000000</v>
      </c>
      <c r="F15" s="3">
        <f t="shared" si="0"/>
        <v>123000000</v>
      </c>
    </row>
    <row r="16" spans="1:7" x14ac:dyDescent="0.2">
      <c r="A16" t="s">
        <v>8</v>
      </c>
      <c r="B16" s="1" t="s">
        <v>10</v>
      </c>
      <c r="C16">
        <v>52</v>
      </c>
      <c r="D16" s="2">
        <v>46180</v>
      </c>
      <c r="E16" s="3">
        <f>C16*10^6*10</f>
        <v>520000000</v>
      </c>
      <c r="F16" s="3">
        <f t="shared" si="0"/>
        <v>156000000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Leigh Martinez</dc:creator>
  <cp:lastModifiedBy>Andrea Leigh Martinez</cp:lastModifiedBy>
  <dcterms:created xsi:type="dcterms:W3CDTF">2026-06-07T16:39:55Z</dcterms:created>
  <dcterms:modified xsi:type="dcterms:W3CDTF">2026-06-07T17:23:23Z</dcterms:modified>
</cp:coreProperties>
</file>