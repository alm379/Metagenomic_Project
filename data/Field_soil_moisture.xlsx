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iemartinez/Desktop/Metagenomic_Project/data/"/>
    </mc:Choice>
  </mc:AlternateContent>
  <xr:revisionPtr revIDLastSave="0" documentId="13_ncr:1_{E9B556EB-8104-8040-8C88-0A5571C91739}" xr6:coauthVersionLast="47" xr6:coauthVersionMax="47" xr10:uidLastSave="{00000000-0000-0000-0000-000000000000}"/>
  <bookViews>
    <workbookView xWindow="1160" yWindow="500" windowWidth="27240" windowHeight="15280" activeTab="2" xr2:uid="{FE8B7330-86A3-ED4C-8E2C-DB45F152A5F6}"/>
  </bookViews>
  <sheets>
    <sheet name="T1_sieved" sheetId="1" r:id="rId1"/>
    <sheet name="T2_sieved" sheetId="2" r:id="rId2"/>
    <sheet name="T2_unsiev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73" i="3" l="1"/>
  <c r="E73" i="3" a="1"/>
  <c r="D73" i="3"/>
  <c r="D73" i="3" a="1"/>
  <c r="C73" i="3"/>
  <c r="C73" i="3" a="1"/>
  <c r="E72" i="3"/>
  <c r="E72" i="3" a="1"/>
  <c r="D72" i="3"/>
  <c r="D72" i="3" a="1"/>
  <c r="C72" i="3"/>
  <c r="C72" i="3" a="1"/>
  <c r="E71" i="3"/>
  <c r="E71" i="3" a="1"/>
  <c r="D71" i="3"/>
  <c r="D71" i="3" a="1"/>
  <c r="C71" i="3"/>
  <c r="C71" i="3" a="1"/>
  <c r="E70" i="3"/>
  <c r="E70" i="3" a="1"/>
  <c r="D70" i="3"/>
  <c r="D70" i="3" a="1"/>
  <c r="C70" i="3"/>
  <c r="C70" i="3" a="1"/>
  <c r="E69" i="3"/>
  <c r="E69" i="3" a="1"/>
  <c r="D69" i="3"/>
  <c r="D69" i="3" a="1"/>
  <c r="C69" i="3"/>
  <c r="C69" i="3" a="1"/>
  <c r="E68" i="3"/>
  <c r="E68" i="3" a="1"/>
  <c r="D68" i="3"/>
  <c r="D68" i="3" a="1"/>
  <c r="C68" i="3"/>
  <c r="C68" i="3" a="1"/>
  <c r="E67" i="3"/>
  <c r="E67" i="3" a="1"/>
  <c r="D67" i="3"/>
  <c r="D67" i="3" a="1"/>
  <c r="C67" i="3"/>
  <c r="C67" i="3" a="1"/>
  <c r="E66" i="3"/>
  <c r="E66" i="3" a="1"/>
  <c r="D66" i="3"/>
  <c r="D66" i="3" a="1"/>
  <c r="C66" i="3"/>
  <c r="C66" i="3" a="1"/>
  <c r="E65" i="3"/>
  <c r="E65" i="3" a="1"/>
  <c r="D65" i="3"/>
  <c r="D65" i="3" a="1"/>
  <c r="C65" i="3"/>
  <c r="C65" i="3" a="1"/>
  <c r="E64" i="3"/>
  <c r="E64" i="3" a="1"/>
  <c r="D64" i="3"/>
  <c r="D64" i="3" a="1"/>
  <c r="C64" i="3"/>
  <c r="C64" i="3" a="1"/>
  <c r="E63" i="3"/>
  <c r="E63" i="3" a="1"/>
  <c r="D63" i="3"/>
  <c r="D63" i="3" a="1"/>
  <c r="C63" i="3"/>
  <c r="C63" i="3" a="1"/>
  <c r="E62" i="3"/>
  <c r="E62" i="3" a="1"/>
  <c r="D62" i="3"/>
  <c r="D62" i="3" a="1"/>
  <c r="C62" i="3"/>
  <c r="C62" i="3" a="1"/>
  <c r="E61" i="3"/>
  <c r="E61" i="3" a="1"/>
  <c r="D61" i="3"/>
  <c r="D61" i="3" a="1"/>
  <c r="C61" i="3"/>
  <c r="C61" i="3" a="1"/>
  <c r="E60" i="3"/>
  <c r="E60" i="3" a="1"/>
  <c r="D60" i="3"/>
  <c r="D60" i="3" a="1"/>
  <c r="C60" i="3"/>
  <c r="C60" i="3" a="1"/>
  <c r="E59" i="3"/>
  <c r="E59" i="3" a="1"/>
  <c r="D59" i="3"/>
  <c r="D59" i="3" a="1"/>
  <c r="C59" i="3"/>
  <c r="C59" i="3" a="1"/>
  <c r="E58" i="3"/>
  <c r="E58" i="3" a="1"/>
  <c r="D58" i="3"/>
  <c r="D58" i="3" a="1"/>
  <c r="C58" i="3"/>
  <c r="C58" i="3" a="1"/>
  <c r="E57" i="3"/>
  <c r="E57" i="3" a="1"/>
  <c r="D57" i="3"/>
  <c r="D57" i="3" a="1"/>
  <c r="C57" i="3"/>
  <c r="C57" i="3" a="1"/>
  <c r="E56" i="3"/>
  <c r="E56" i="3" a="1"/>
  <c r="D56" i="3"/>
  <c r="D56" i="3" a="1"/>
  <c r="C56" i="3"/>
  <c r="C56" i="3" a="1"/>
  <c r="E55" i="3"/>
  <c r="E55" i="3" a="1"/>
  <c r="D55" i="3"/>
  <c r="D55" i="3" a="1"/>
  <c r="C55" i="3"/>
  <c r="C55" i="3" a="1"/>
  <c r="E54" i="3"/>
  <c r="E54" i="3" a="1"/>
  <c r="D54" i="3"/>
  <c r="D54" i="3" a="1"/>
  <c r="C54" i="3"/>
  <c r="C54" i="3" a="1"/>
  <c r="E53" i="3"/>
  <c r="E53" i="3" a="1"/>
  <c r="D53" i="3"/>
  <c r="D53" i="3" a="1"/>
  <c r="C53" i="3"/>
  <c r="C53" i="3" a="1"/>
  <c r="E52" i="3"/>
  <c r="E52" i="3" a="1"/>
  <c r="D52" i="3"/>
  <c r="D52" i="3" a="1"/>
  <c r="C52" i="3"/>
  <c r="C52" i="3" a="1"/>
  <c r="E51" i="3"/>
  <c r="E51" i="3" a="1"/>
  <c r="D51" i="3"/>
  <c r="D51" i="3" a="1"/>
  <c r="C51" i="3"/>
  <c r="C51" i="3" a="1"/>
  <c r="E50" i="3"/>
  <c r="E50" i="3" a="1"/>
  <c r="D50" i="3"/>
  <c r="D50" i="3" a="1"/>
  <c r="C50" i="3"/>
  <c r="C50" i="3" a="1"/>
  <c r="E49" i="3"/>
  <c r="E49" i="3" a="1"/>
  <c r="D49" i="3"/>
  <c r="D49" i="3" a="1"/>
  <c r="C49" i="3"/>
  <c r="C49" i="3" a="1"/>
  <c r="E48" i="3"/>
  <c r="E48" i="3" a="1"/>
  <c r="D48" i="3"/>
  <c r="D48" i="3" a="1"/>
  <c r="C48" i="3"/>
  <c r="C48" i="3" a="1"/>
  <c r="E47" i="3"/>
  <c r="E47" i="3" a="1"/>
  <c r="D47" i="3"/>
  <c r="D47" i="3" a="1"/>
  <c r="C47" i="3"/>
  <c r="C47" i="3" a="1"/>
  <c r="E46" i="3"/>
  <c r="E46" i="3" a="1"/>
  <c r="D46" i="3"/>
  <c r="D46" i="3" a="1"/>
  <c r="C46" i="3"/>
  <c r="C46" i="3" a="1"/>
  <c r="E45" i="3"/>
  <c r="E45" i="3" a="1"/>
  <c r="D45" i="3"/>
  <c r="D45" i="3" a="1"/>
  <c r="C45" i="3"/>
  <c r="C45" i="3" a="1"/>
  <c r="E44" i="3"/>
  <c r="E44" i="3" a="1"/>
  <c r="D44" i="3"/>
  <c r="D44" i="3" a="1"/>
  <c r="C44" i="3"/>
  <c r="C44" i="3" a="1"/>
  <c r="E43" i="3"/>
  <c r="E43" i="3" a="1"/>
  <c r="D43" i="3"/>
  <c r="D43" i="3" a="1"/>
  <c r="C43" i="3"/>
  <c r="C43" i="3" a="1"/>
  <c r="E42" i="3"/>
  <c r="E42" i="3" a="1"/>
  <c r="D42" i="3"/>
  <c r="D42" i="3" a="1"/>
  <c r="C42" i="3"/>
  <c r="C42" i="3" a="1"/>
  <c r="E41" i="3"/>
  <c r="E41" i="3" a="1"/>
  <c r="D41" i="3"/>
  <c r="D41" i="3" a="1"/>
  <c r="C41" i="3"/>
  <c r="C41" i="3" a="1"/>
  <c r="E40" i="3"/>
  <c r="E40" i="3" a="1"/>
  <c r="D40" i="3"/>
  <c r="D40" i="3" a="1"/>
  <c r="C40" i="3"/>
  <c r="C40" i="3" a="1"/>
  <c r="E39" i="3"/>
  <c r="E39" i="3" a="1"/>
  <c r="D39" i="3"/>
  <c r="D39" i="3" a="1"/>
  <c r="C39" i="3"/>
  <c r="C39" i="3" a="1"/>
  <c r="E38" i="3"/>
  <c r="E38" i="3" a="1"/>
  <c r="D38" i="3"/>
  <c r="D38" i="3" a="1"/>
  <c r="C38" i="3"/>
  <c r="C38" i="3" a="1"/>
  <c r="E37" i="3"/>
  <c r="E37" i="3" a="1"/>
  <c r="D37" i="3"/>
  <c r="D37" i="3" a="1"/>
  <c r="C37" i="3"/>
  <c r="C37" i="3" a="1"/>
  <c r="E36" i="3"/>
  <c r="E36" i="3" a="1"/>
  <c r="D36" i="3"/>
  <c r="D36" i="3" a="1"/>
  <c r="C36" i="3"/>
  <c r="C36" i="3" a="1"/>
  <c r="E35" i="3"/>
  <c r="E35" i="3" a="1"/>
  <c r="D35" i="3"/>
  <c r="D35" i="3" a="1"/>
  <c r="C35" i="3"/>
  <c r="C35" i="3" a="1"/>
  <c r="E34" i="3"/>
  <c r="E34" i="3" a="1"/>
  <c r="D34" i="3"/>
  <c r="D34" i="3" a="1"/>
  <c r="C34" i="3"/>
  <c r="C34" i="3" a="1"/>
  <c r="E33" i="3"/>
  <c r="E33" i="3" a="1"/>
  <c r="D33" i="3"/>
  <c r="D33" i="3" a="1"/>
  <c r="C33" i="3"/>
  <c r="C33" i="3" a="1"/>
  <c r="E32" i="3"/>
  <c r="E32" i="3" a="1"/>
  <c r="D32" i="3"/>
  <c r="D32" i="3" a="1"/>
  <c r="C32" i="3"/>
  <c r="C32" i="3" a="1"/>
  <c r="E31" i="3"/>
  <c r="E31" i="3" a="1"/>
  <c r="D31" i="3"/>
  <c r="D31" i="3" a="1"/>
  <c r="C31" i="3"/>
  <c r="C31" i="3" a="1"/>
  <c r="E30" i="3"/>
  <c r="E30" i="3" a="1"/>
  <c r="D30" i="3"/>
  <c r="D30" i="3" a="1"/>
  <c r="C30" i="3"/>
  <c r="C30" i="3" a="1"/>
  <c r="E29" i="3"/>
  <c r="E29" i="3" a="1"/>
  <c r="D29" i="3"/>
  <c r="D29" i="3" a="1"/>
  <c r="C29" i="3"/>
  <c r="C29" i="3" a="1"/>
  <c r="E28" i="3"/>
  <c r="E28" i="3" a="1"/>
  <c r="D28" i="3"/>
  <c r="D28" i="3" a="1"/>
  <c r="C28" i="3"/>
  <c r="C28" i="3" a="1"/>
  <c r="E27" i="3"/>
  <c r="E27" i="3" a="1"/>
  <c r="D27" i="3"/>
  <c r="D27" i="3" a="1"/>
  <c r="C27" i="3"/>
  <c r="C27" i="3" a="1"/>
  <c r="E26" i="3"/>
  <c r="E26" i="3" a="1"/>
  <c r="D26" i="3"/>
  <c r="D26" i="3" a="1"/>
  <c r="C26" i="3"/>
  <c r="C26" i="3" a="1"/>
  <c r="E25" i="3"/>
  <c r="E25" i="3" a="1"/>
  <c r="D25" i="3"/>
  <c r="D25" i="3" a="1"/>
  <c r="C25" i="3"/>
  <c r="C25" i="3" a="1"/>
  <c r="E24" i="3"/>
  <c r="E24" i="3" a="1"/>
  <c r="D24" i="3"/>
  <c r="D24" i="3" a="1"/>
  <c r="C24" i="3"/>
  <c r="C24" i="3" a="1"/>
  <c r="E23" i="3"/>
  <c r="E23" i="3" a="1"/>
  <c r="D23" i="3"/>
  <c r="D23" i="3" a="1"/>
  <c r="C23" i="3"/>
  <c r="C23" i="3" a="1"/>
  <c r="E22" i="3"/>
  <c r="E22" i="3" a="1"/>
  <c r="D22" i="3"/>
  <c r="D22" i="3" a="1"/>
  <c r="C22" i="3"/>
  <c r="C22" i="3" a="1"/>
  <c r="E21" i="3"/>
  <c r="E21" i="3" a="1"/>
  <c r="D21" i="3"/>
  <c r="D21" i="3" a="1"/>
  <c r="C21" i="3"/>
  <c r="C21" i="3" a="1"/>
  <c r="E20" i="3"/>
  <c r="E20" i="3" a="1"/>
  <c r="D20" i="3"/>
  <c r="D20" i="3" a="1"/>
  <c r="C20" i="3"/>
  <c r="C20" i="3" a="1"/>
  <c r="E19" i="3"/>
  <c r="E19" i="3" a="1"/>
  <c r="D19" i="3"/>
  <c r="D19" i="3" a="1"/>
  <c r="C19" i="3"/>
  <c r="C19" i="3" a="1"/>
  <c r="E18" i="3"/>
  <c r="E18" i="3" a="1"/>
  <c r="D18" i="3"/>
  <c r="D18" i="3" a="1"/>
  <c r="C18" i="3"/>
  <c r="C18" i="3" a="1"/>
  <c r="E17" i="3"/>
  <c r="E17" i="3" a="1"/>
  <c r="D17" i="3"/>
  <c r="D17" i="3" a="1"/>
  <c r="C17" i="3"/>
  <c r="C17" i="3" a="1"/>
  <c r="E16" i="3"/>
  <c r="E16" i="3" a="1"/>
  <c r="D16" i="3"/>
  <c r="D16" i="3" a="1"/>
  <c r="C16" i="3"/>
  <c r="C16" i="3" a="1"/>
  <c r="E15" i="3"/>
  <c r="E15" i="3" a="1"/>
  <c r="D15" i="3"/>
  <c r="D15" i="3" a="1"/>
  <c r="C15" i="3"/>
  <c r="C15" i="3" a="1"/>
  <c r="E14" i="3"/>
  <c r="E14" i="3" a="1"/>
  <c r="D14" i="3"/>
  <c r="D14" i="3" a="1"/>
  <c r="C14" i="3"/>
  <c r="C14" i="3" a="1"/>
  <c r="E13" i="3"/>
  <c r="E13" i="3" a="1"/>
  <c r="D13" i="3"/>
  <c r="D13" i="3" a="1"/>
  <c r="C13" i="3"/>
  <c r="C13" i="3" a="1"/>
  <c r="E12" i="3"/>
  <c r="E12" i="3" a="1"/>
  <c r="D12" i="3"/>
  <c r="D12" i="3" a="1"/>
  <c r="C12" i="3"/>
  <c r="C12" i="3" a="1"/>
  <c r="E11" i="3"/>
  <c r="E11" i="3" a="1"/>
  <c r="D11" i="3"/>
  <c r="D11" i="3" a="1"/>
  <c r="C11" i="3"/>
  <c r="C11" i="3" a="1"/>
  <c r="E10" i="3"/>
  <c r="E10" i="3" a="1"/>
  <c r="D10" i="3"/>
  <c r="D10" i="3" a="1"/>
  <c r="C10" i="3"/>
  <c r="C10" i="3" a="1"/>
  <c r="E9" i="3"/>
  <c r="E9" i="3" a="1"/>
  <c r="D9" i="3"/>
  <c r="D9" i="3" a="1"/>
  <c r="C9" i="3"/>
  <c r="C9" i="3" a="1"/>
  <c r="E8" i="3"/>
  <c r="E8" i="3" a="1"/>
  <c r="D8" i="3"/>
  <c r="D8" i="3" a="1"/>
  <c r="C8" i="3"/>
  <c r="C8" i="3" a="1"/>
  <c r="E7" i="3"/>
  <c r="E7" i="3" a="1"/>
  <c r="D7" i="3"/>
  <c r="D7" i="3" a="1"/>
  <c r="C7" i="3"/>
  <c r="C7" i="3" a="1"/>
  <c r="E6" i="3"/>
  <c r="E6" i="3" a="1"/>
  <c r="D6" i="3"/>
  <c r="D6" i="3" a="1"/>
  <c r="C6" i="3"/>
  <c r="C6" i="3" a="1"/>
  <c r="E5" i="3"/>
  <c r="E5" i="3" a="1"/>
  <c r="D5" i="3"/>
  <c r="D5" i="3" a="1"/>
  <c r="C5" i="3"/>
  <c r="C5" i="3" a="1"/>
  <c r="E4" i="3"/>
  <c r="E4" i="3" a="1"/>
  <c r="D4" i="3"/>
  <c r="D4" i="3" a="1"/>
  <c r="C4" i="3"/>
  <c r="C4" i="3" a="1"/>
  <c r="E3" i="3"/>
  <c r="E3" i="3" a="1"/>
  <c r="D3" i="3"/>
  <c r="D3" i="3" a="1"/>
  <c r="C3" i="3"/>
  <c r="C3" i="3" a="1"/>
  <c r="E2" i="3"/>
  <c r="E2" i="3" a="1"/>
  <c r="D2" i="3"/>
  <c r="D2" i="3" a="1"/>
  <c r="C2" i="3"/>
  <c r="C2" i="3" a="1"/>
  <c r="O3" i="1" a="1"/>
  <c r="O4" i="1" a="1"/>
  <c r="O4" i="1" s="1"/>
  <c r="O5" i="1" a="1"/>
  <c r="O5" i="1" s="1"/>
  <c r="O6" i="1" a="1"/>
  <c r="O6" i="1" s="1"/>
  <c r="O7" i="1" a="1"/>
  <c r="O7" i="1" s="1"/>
  <c r="O8" i="1" a="1"/>
  <c r="O8" i="1" s="1"/>
  <c r="O9" i="1" a="1"/>
  <c r="O9" i="1" s="1"/>
  <c r="O10" i="1" a="1"/>
  <c r="O10" i="1" s="1"/>
  <c r="O11" i="1" a="1"/>
  <c r="O11" i="1" s="1"/>
  <c r="E3" i="1" a="1"/>
  <c r="E3" i="1" s="1"/>
  <c r="E4" i="1" a="1"/>
  <c r="E4" i="1" s="1"/>
  <c r="E5" i="1" a="1"/>
  <c r="E5" i="1" s="1"/>
  <c r="E6" i="1" a="1"/>
  <c r="E6" i="1"/>
  <c r="E7" i="1" a="1"/>
  <c r="E7" i="1" s="1"/>
  <c r="E8" i="1" a="1"/>
  <c r="E8" i="1" s="1"/>
  <c r="E9" i="1" a="1"/>
  <c r="E9" i="1" s="1"/>
  <c r="E10" i="1" a="1"/>
  <c r="E10" i="1"/>
  <c r="E11" i="1" a="1"/>
  <c r="E11" i="1" s="1"/>
  <c r="E12" i="1" a="1"/>
  <c r="E12" i="1" s="1"/>
  <c r="E13" i="1" a="1"/>
  <c r="E13" i="1" s="1"/>
  <c r="E14" i="1" a="1"/>
  <c r="E14" i="1"/>
  <c r="E15" i="1" a="1"/>
  <c r="E15" i="1" s="1"/>
  <c r="E16" i="1" a="1"/>
  <c r="E16" i="1" s="1"/>
  <c r="E17" i="1" a="1"/>
  <c r="E17" i="1" s="1"/>
  <c r="E18" i="1" a="1"/>
  <c r="E18" i="1"/>
  <c r="E19" i="1" a="1"/>
  <c r="E19" i="1" s="1"/>
  <c r="E20" i="1" a="1"/>
  <c r="E20" i="1" s="1"/>
  <c r="E21" i="1" a="1"/>
  <c r="E21" i="1" s="1"/>
  <c r="E22" i="1" a="1"/>
  <c r="E22" i="1"/>
  <c r="E23" i="1" a="1"/>
  <c r="E23" i="1" s="1"/>
  <c r="E24" i="1" a="1"/>
  <c r="E24" i="1" s="1"/>
  <c r="E25" i="1" a="1"/>
  <c r="E25" i="1" s="1"/>
  <c r="E26" i="1" a="1"/>
  <c r="E26" i="1"/>
  <c r="E27" i="1" a="1"/>
  <c r="E27" i="1" s="1"/>
  <c r="E28" i="1" a="1"/>
  <c r="E28" i="1" s="1"/>
  <c r="E29" i="1" a="1"/>
  <c r="E29" i="1" s="1"/>
  <c r="E30" i="1" a="1"/>
  <c r="E30" i="1"/>
  <c r="E31" i="1" a="1"/>
  <c r="E31" i="1" s="1"/>
  <c r="E32" i="1" a="1"/>
  <c r="E32" i="1" s="1"/>
  <c r="E33" i="1" a="1"/>
  <c r="E33" i="1" s="1"/>
  <c r="E34" i="1" a="1"/>
  <c r="E34" i="1"/>
  <c r="E35" i="1" a="1"/>
  <c r="E35" i="1" s="1"/>
  <c r="E36" i="1" a="1"/>
  <c r="E36" i="1" s="1"/>
  <c r="E37" i="1" a="1"/>
  <c r="E37" i="1" s="1"/>
  <c r="E38" i="1" a="1"/>
  <c r="E38" i="1"/>
  <c r="E39" i="1" a="1"/>
  <c r="E39" i="1" s="1"/>
  <c r="E40" i="1" a="1"/>
  <c r="E40" i="1" s="1"/>
  <c r="E41" i="1" a="1"/>
  <c r="E41" i="1" s="1"/>
  <c r="E42" i="1" a="1"/>
  <c r="E42" i="1"/>
  <c r="E43" i="1" a="1"/>
  <c r="E43" i="1" s="1"/>
  <c r="E44" i="1" a="1"/>
  <c r="E44" i="1" s="1"/>
  <c r="E45" i="1" a="1"/>
  <c r="E45" i="1" s="1"/>
  <c r="E46" i="1" a="1"/>
  <c r="E46" i="1"/>
  <c r="E47" i="1" a="1"/>
  <c r="E47" i="1" s="1"/>
  <c r="E48" i="1" a="1"/>
  <c r="E48" i="1" s="1"/>
  <c r="E49" i="1" a="1"/>
  <c r="E49" i="1" s="1"/>
  <c r="E50" i="1" a="1"/>
  <c r="E50" i="1"/>
  <c r="E51" i="1" a="1"/>
  <c r="E51" i="1" s="1"/>
  <c r="E52" i="1" a="1"/>
  <c r="E52" i="1" s="1"/>
  <c r="E53" i="1" a="1"/>
  <c r="E53" i="1" s="1"/>
  <c r="E54" i="1" a="1"/>
  <c r="E54" i="1"/>
  <c r="E55" i="1" a="1"/>
  <c r="E55" i="1" s="1"/>
  <c r="E56" i="1" a="1"/>
  <c r="E56" i="1" s="1"/>
  <c r="E57" i="1" a="1"/>
  <c r="E57" i="1" s="1"/>
  <c r="E58" i="1" a="1"/>
  <c r="E58" i="1"/>
  <c r="E59" i="1" a="1"/>
  <c r="E59" i="1" s="1"/>
  <c r="E60" i="1" a="1"/>
  <c r="E60" i="1" s="1"/>
  <c r="E61" i="1" a="1"/>
  <c r="E61" i="1" s="1"/>
  <c r="E62" i="1" a="1"/>
  <c r="E62" i="1"/>
  <c r="E63" i="1" a="1"/>
  <c r="E63" i="1" s="1"/>
  <c r="E64" i="1" a="1"/>
  <c r="E64" i="1" s="1"/>
  <c r="E65" i="1" a="1"/>
  <c r="E65" i="1" s="1"/>
  <c r="E66" i="1" a="1"/>
  <c r="E66" i="1"/>
  <c r="E67" i="1" a="1"/>
  <c r="E67" i="1" s="1"/>
  <c r="E68" i="1" a="1"/>
  <c r="E68" i="1" s="1"/>
  <c r="E69" i="1" a="1"/>
  <c r="E69" i="1" s="1"/>
  <c r="E70" i="1" a="1"/>
  <c r="E70" i="1"/>
  <c r="E71" i="1" a="1"/>
  <c r="E71" i="1" s="1"/>
  <c r="E72" i="1" a="1"/>
  <c r="E72" i="1" s="1"/>
  <c r="E73" i="1" a="1"/>
  <c r="E73" i="1" s="1"/>
  <c r="E2" i="1" a="1"/>
  <c r="E2" i="1" s="1"/>
  <c r="D3" i="1" a="1"/>
  <c r="D3" i="1" s="1"/>
  <c r="D4" i="1" a="1"/>
  <c r="D4" i="1" s="1"/>
  <c r="D5" i="1" a="1"/>
  <c r="D5" i="1"/>
  <c r="D6" i="1" a="1"/>
  <c r="D6" i="1"/>
  <c r="D7" i="1" a="1"/>
  <c r="D7" i="1" s="1"/>
  <c r="D8" i="1" a="1"/>
  <c r="D8" i="1" s="1"/>
  <c r="D9" i="1" a="1"/>
  <c r="D9" i="1"/>
  <c r="D10" i="1" a="1"/>
  <c r="D10" i="1"/>
  <c r="D11" i="1" a="1"/>
  <c r="D11" i="1" s="1"/>
  <c r="D12" i="1" a="1"/>
  <c r="D12" i="1" s="1"/>
  <c r="D13" i="1" a="1"/>
  <c r="D13" i="1"/>
  <c r="D14" i="1" a="1"/>
  <c r="D14" i="1"/>
  <c r="D15" i="1" a="1"/>
  <c r="D15" i="1" s="1"/>
  <c r="D16" i="1" a="1"/>
  <c r="D16" i="1" s="1"/>
  <c r="D17" i="1" a="1"/>
  <c r="D17" i="1"/>
  <c r="D18" i="1" a="1"/>
  <c r="D18" i="1"/>
  <c r="D19" i="1" a="1"/>
  <c r="D19" i="1" s="1"/>
  <c r="D20" i="1" a="1"/>
  <c r="D20" i="1" s="1"/>
  <c r="D21" i="1" a="1"/>
  <c r="D21" i="1"/>
  <c r="D22" i="1" a="1"/>
  <c r="D22" i="1"/>
  <c r="D23" i="1" a="1"/>
  <c r="D23" i="1" s="1"/>
  <c r="D24" i="1" a="1"/>
  <c r="D24" i="1" s="1"/>
  <c r="D25" i="1" a="1"/>
  <c r="D25" i="1"/>
  <c r="D26" i="1" a="1"/>
  <c r="D26" i="1"/>
  <c r="D27" i="1" a="1"/>
  <c r="D27" i="1" s="1"/>
  <c r="D28" i="1" a="1"/>
  <c r="D28" i="1" s="1"/>
  <c r="D29" i="1" a="1"/>
  <c r="D29" i="1"/>
  <c r="D30" i="1" a="1"/>
  <c r="D30" i="1"/>
  <c r="D31" i="1" a="1"/>
  <c r="D31" i="1" s="1"/>
  <c r="D32" i="1" a="1"/>
  <c r="D32" i="1" s="1"/>
  <c r="D33" i="1" a="1"/>
  <c r="D33" i="1"/>
  <c r="D34" i="1" a="1"/>
  <c r="D34" i="1"/>
  <c r="D35" i="1" a="1"/>
  <c r="D35" i="1" s="1"/>
  <c r="D36" i="1" a="1"/>
  <c r="D36" i="1" s="1"/>
  <c r="D37" i="1" a="1"/>
  <c r="D37" i="1"/>
  <c r="D38" i="1" a="1"/>
  <c r="D38" i="1"/>
  <c r="D39" i="1" a="1"/>
  <c r="D39" i="1" s="1"/>
  <c r="D40" i="1" a="1"/>
  <c r="D40" i="1" s="1"/>
  <c r="D41" i="1" a="1"/>
  <c r="D41" i="1"/>
  <c r="D42" i="1" a="1"/>
  <c r="D42" i="1"/>
  <c r="D43" i="1" a="1"/>
  <c r="D43" i="1" s="1"/>
  <c r="D44" i="1" a="1"/>
  <c r="D44" i="1" s="1"/>
  <c r="D45" i="1" a="1"/>
  <c r="D45" i="1"/>
  <c r="D46" i="1" a="1"/>
  <c r="D46" i="1"/>
  <c r="D47" i="1" a="1"/>
  <c r="D47" i="1" s="1"/>
  <c r="D48" i="1" a="1"/>
  <c r="D48" i="1" s="1"/>
  <c r="D49" i="1" a="1"/>
  <c r="D49" i="1"/>
  <c r="D50" i="1" a="1"/>
  <c r="D50" i="1"/>
  <c r="D51" i="1" a="1"/>
  <c r="D51" i="1" s="1"/>
  <c r="D52" i="1" a="1"/>
  <c r="D52" i="1" s="1"/>
  <c r="D53" i="1" a="1"/>
  <c r="D53" i="1"/>
  <c r="D54" i="1" a="1"/>
  <c r="D54" i="1"/>
  <c r="D55" i="1" a="1"/>
  <c r="D55" i="1" s="1"/>
  <c r="D56" i="1" a="1"/>
  <c r="D56" i="1" s="1"/>
  <c r="D57" i="1" a="1"/>
  <c r="D57" i="1"/>
  <c r="D58" i="1" a="1"/>
  <c r="D58" i="1"/>
  <c r="D59" i="1" a="1"/>
  <c r="D59" i="1" s="1"/>
  <c r="D60" i="1" a="1"/>
  <c r="D60" i="1" s="1"/>
  <c r="D61" i="1" a="1"/>
  <c r="D61" i="1"/>
  <c r="D62" i="1" a="1"/>
  <c r="D62" i="1"/>
  <c r="D63" i="1" a="1"/>
  <c r="D63" i="1" s="1"/>
  <c r="D64" i="1" a="1"/>
  <c r="D64" i="1" s="1"/>
  <c r="D65" i="1" a="1"/>
  <c r="D65" i="1"/>
  <c r="D66" i="1" a="1"/>
  <c r="D66" i="1"/>
  <c r="D67" i="1" a="1"/>
  <c r="D67" i="1" s="1"/>
  <c r="D68" i="1" a="1"/>
  <c r="D68" i="1" s="1"/>
  <c r="D69" i="1" a="1"/>
  <c r="D69" i="1"/>
  <c r="D70" i="1" a="1"/>
  <c r="D70" i="1"/>
  <c r="D71" i="1" a="1"/>
  <c r="D71" i="1" s="1"/>
  <c r="D72" i="1" a="1"/>
  <c r="D72" i="1" s="1"/>
  <c r="D73" i="1" a="1"/>
  <c r="D73" i="1"/>
  <c r="D2" i="1" a="1"/>
  <c r="D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2" i="1" a="1"/>
  <c r="C2" i="1" s="1"/>
  <c r="O3" i="1" l="1"/>
  <c r="J32" i="1"/>
  <c r="H32" i="1"/>
  <c r="H22" i="1"/>
  <c r="J22" i="1"/>
  <c r="J73" i="1"/>
  <c r="H73" i="1"/>
  <c r="J33" i="1"/>
  <c r="K33" i="1" s="1"/>
  <c r="J26" i="1"/>
  <c r="K26" i="1" s="1"/>
  <c r="J27" i="1"/>
  <c r="J24" i="1"/>
  <c r="J25" i="1"/>
  <c r="J34" i="1"/>
  <c r="J35" i="1"/>
  <c r="J28" i="1"/>
  <c r="J29" i="1"/>
  <c r="K29" i="1" s="1"/>
  <c r="J30" i="1"/>
  <c r="J31" i="1"/>
  <c r="J23" i="1"/>
  <c r="J20" i="1"/>
  <c r="J21" i="1"/>
  <c r="J36" i="1"/>
  <c r="J37" i="1"/>
  <c r="J40" i="1"/>
  <c r="J41" i="1"/>
  <c r="J46" i="1"/>
  <c r="J47" i="1"/>
  <c r="J50" i="1"/>
  <c r="J51" i="1"/>
  <c r="J42" i="1"/>
  <c r="J43" i="1"/>
  <c r="J44" i="1"/>
  <c r="J45" i="1"/>
  <c r="J54" i="1"/>
  <c r="J55" i="1"/>
  <c r="J48" i="1"/>
  <c r="J49" i="1"/>
  <c r="J52" i="1"/>
  <c r="J53" i="1"/>
  <c r="J38" i="1"/>
  <c r="J39" i="1"/>
  <c r="J6" i="1"/>
  <c r="J7" i="1"/>
  <c r="J10" i="1"/>
  <c r="J11" i="1"/>
  <c r="J16" i="1"/>
  <c r="J17" i="1"/>
  <c r="J2" i="1"/>
  <c r="J3" i="1"/>
  <c r="J4" i="1"/>
  <c r="J5" i="1"/>
  <c r="J8" i="1"/>
  <c r="J9" i="1"/>
  <c r="J18" i="1"/>
  <c r="J19" i="1"/>
  <c r="J12" i="1"/>
  <c r="J13" i="1"/>
  <c r="J14" i="1"/>
  <c r="J15" i="1"/>
  <c r="J60" i="1"/>
  <c r="J61" i="1"/>
  <c r="J70" i="1"/>
  <c r="J71" i="1"/>
  <c r="J72" i="1"/>
  <c r="J62" i="1"/>
  <c r="K62" i="1" s="1"/>
  <c r="J63" i="1"/>
  <c r="J58" i="1"/>
  <c r="J59" i="1"/>
  <c r="J66" i="1"/>
  <c r="J67" i="1"/>
  <c r="J64" i="1"/>
  <c r="J65" i="1"/>
  <c r="K65" i="1" s="1"/>
  <c r="J68" i="1"/>
  <c r="K68" i="1" s="1"/>
  <c r="J69" i="1"/>
  <c r="J56" i="1"/>
  <c r="H33" i="1"/>
  <c r="H26" i="1"/>
  <c r="H27" i="1"/>
  <c r="H24" i="1"/>
  <c r="H25" i="1"/>
  <c r="H34" i="1"/>
  <c r="H35" i="1"/>
  <c r="H28" i="1"/>
  <c r="H29" i="1"/>
  <c r="H30" i="1"/>
  <c r="H31" i="1"/>
  <c r="H23" i="1"/>
  <c r="H20" i="1"/>
  <c r="H21" i="1"/>
  <c r="H36" i="1"/>
  <c r="H37" i="1"/>
  <c r="H40" i="1"/>
  <c r="H41" i="1"/>
  <c r="H46" i="1"/>
  <c r="H47" i="1"/>
  <c r="H50" i="1"/>
  <c r="H51" i="1"/>
  <c r="H42" i="1"/>
  <c r="H43" i="1"/>
  <c r="H44" i="1"/>
  <c r="H45" i="1"/>
  <c r="H54" i="1"/>
  <c r="H55" i="1"/>
  <c r="H48" i="1"/>
  <c r="H49" i="1"/>
  <c r="H52" i="1"/>
  <c r="H53" i="1"/>
  <c r="H38" i="1"/>
  <c r="H39" i="1"/>
  <c r="H6" i="1"/>
  <c r="H7" i="1"/>
  <c r="H10" i="1"/>
  <c r="H11" i="1"/>
  <c r="H16" i="1"/>
  <c r="H17" i="1"/>
  <c r="H2" i="1"/>
  <c r="H3" i="1"/>
  <c r="H4" i="1"/>
  <c r="H5" i="1"/>
  <c r="H8" i="1"/>
  <c r="H9" i="1"/>
  <c r="H18" i="1"/>
  <c r="H19" i="1"/>
  <c r="H12" i="1"/>
  <c r="H13" i="1"/>
  <c r="H14" i="1"/>
  <c r="H15" i="1"/>
  <c r="H60" i="1"/>
  <c r="H61" i="1"/>
  <c r="H70" i="1"/>
  <c r="H71" i="1"/>
  <c r="H72" i="1"/>
  <c r="H62" i="1"/>
  <c r="H63" i="1"/>
  <c r="H58" i="1"/>
  <c r="H59" i="1"/>
  <c r="H66" i="1"/>
  <c r="H67" i="1"/>
  <c r="H64" i="1"/>
  <c r="H65" i="1"/>
  <c r="H68" i="1"/>
  <c r="H69" i="1"/>
  <c r="H56" i="1"/>
  <c r="J57" i="1"/>
  <c r="H57" i="1"/>
  <c r="K32" i="1" l="1"/>
  <c r="K22" i="1"/>
  <c r="K58" i="1"/>
  <c r="K24" i="1"/>
  <c r="K69" i="1"/>
  <c r="K63" i="1"/>
  <c r="K27" i="1"/>
  <c r="K47" i="1"/>
  <c r="K71" i="1"/>
  <c r="K53" i="1"/>
  <c r="K43" i="1"/>
  <c r="K28" i="1"/>
  <c r="K57" i="1"/>
  <c r="K56" i="1"/>
  <c r="K7" i="1"/>
  <c r="K23" i="1"/>
  <c r="K17" i="1"/>
  <c r="K37" i="1"/>
  <c r="K14" i="1"/>
  <c r="K4" i="1"/>
  <c r="K6" i="1"/>
  <c r="K54" i="1"/>
  <c r="K46" i="1"/>
  <c r="K31" i="1"/>
  <c r="K67" i="1"/>
  <c r="K70" i="1"/>
  <c r="K18" i="1"/>
  <c r="K16" i="1"/>
  <c r="K52" i="1"/>
  <c r="K42" i="1"/>
  <c r="K36" i="1"/>
  <c r="K35" i="1"/>
  <c r="K73" i="1"/>
  <c r="K15" i="1"/>
  <c r="K55" i="1"/>
  <c r="K19" i="1"/>
  <c r="K3" i="1"/>
  <c r="K45" i="1"/>
  <c r="K30" i="1"/>
  <c r="K61" i="1"/>
  <c r="K11" i="1"/>
  <c r="K49" i="1"/>
  <c r="K51" i="1"/>
  <c r="K34" i="1"/>
  <c r="K5" i="1"/>
  <c r="K64" i="1"/>
  <c r="K13" i="1"/>
  <c r="K39" i="1"/>
  <c r="K41" i="1"/>
  <c r="K66" i="1"/>
  <c r="K9" i="1"/>
  <c r="K21" i="1"/>
  <c r="K72" i="1"/>
  <c r="K12" i="1"/>
  <c r="K2" i="1"/>
  <c r="K38" i="1"/>
  <c r="K44" i="1"/>
  <c r="K40" i="1"/>
  <c r="K59" i="1"/>
  <c r="K60" i="1"/>
  <c r="K8" i="1"/>
  <c r="K10" i="1"/>
  <c r="K48" i="1"/>
  <c r="K50" i="1"/>
  <c r="K20" i="1"/>
  <c r="K25" i="1"/>
  <c r="O2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<sst xmlns="http://schemas.openxmlformats.org/spreadsheetml/2006/main" count="422" uniqueCount="171">
  <si>
    <t>sample</t>
  </si>
  <si>
    <t>boat</t>
  </si>
  <si>
    <t>boat+wet_soil(g)</t>
  </si>
  <si>
    <t>boat+dry_soil(g)</t>
  </si>
  <si>
    <t>wet_soil(g)</t>
  </si>
  <si>
    <t>dry_soil(g)</t>
  </si>
  <si>
    <t>T1-IV-AUHV-2</t>
  </si>
  <si>
    <t>T1-IV-AUHV-1</t>
  </si>
  <si>
    <t>T1-IV-PRY-2</t>
  </si>
  <si>
    <t>T1-IV-PRY-1</t>
  </si>
  <si>
    <t>T1-IV-MNHV-2</t>
  </si>
  <si>
    <t>T1-IV-MNHV-1</t>
  </si>
  <si>
    <t>T1-IV-ORG-2</t>
  </si>
  <si>
    <t>T1-IV-ORG-1</t>
  </si>
  <si>
    <t>T1-IV-BWW-2</t>
  </si>
  <si>
    <t>T1-IV-BWW-1</t>
  </si>
  <si>
    <t>T1-IV-C2-1</t>
  </si>
  <si>
    <t>T1-IV-C2-2</t>
  </si>
  <si>
    <t>T1-IV-SWW-1</t>
  </si>
  <si>
    <t>T1-IV-SWW-2</t>
  </si>
  <si>
    <t>T1-IV-RCL-2</t>
  </si>
  <si>
    <t>T1-IV-RCL-1</t>
  </si>
  <si>
    <t>T1-IV-C1-2</t>
  </si>
  <si>
    <t>T1-IV-C1-1</t>
  </si>
  <si>
    <t>T1-II-AUHV-2</t>
  </si>
  <si>
    <t>T1-II-AUHV-1</t>
  </si>
  <si>
    <t>T1-II-RCL-2</t>
  </si>
  <si>
    <t>T1-II-RCL-1</t>
  </si>
  <si>
    <t>T1-II-ORG-2</t>
  </si>
  <si>
    <t>T1-II-ORG-1</t>
  </si>
  <si>
    <t>T1-II-SWW-2</t>
  </si>
  <si>
    <t>T1-II-SWW-1</t>
  </si>
  <si>
    <t>T1-II-C2-2</t>
  </si>
  <si>
    <t>T1-II-C2-1</t>
  </si>
  <si>
    <t>T1-II-C1-2</t>
  </si>
  <si>
    <t>T1-II-C1-1</t>
  </si>
  <si>
    <t>T1-II-PRY-2</t>
  </si>
  <si>
    <t>T1-II-PRY-1</t>
  </si>
  <si>
    <t>T1-II-MNHV-2</t>
  </si>
  <si>
    <t>T1-II-MNHV-1</t>
  </si>
  <si>
    <t>T1-II-BWW-2</t>
  </si>
  <si>
    <t>T1-II-BWW-1</t>
  </si>
  <si>
    <t>T1-I-SWW-2</t>
  </si>
  <si>
    <t>T1-I-SWW-1</t>
  </si>
  <si>
    <t>T1-I-AUHV-2</t>
  </si>
  <si>
    <t>T1-I-AUHV-1</t>
  </si>
  <si>
    <t>T1-I-BWW-2</t>
  </si>
  <si>
    <t>T1-I-BWW-1</t>
  </si>
  <si>
    <t>T1-I-ORG-2</t>
  </si>
  <si>
    <t>T1-I-ORG-1</t>
  </si>
  <si>
    <t>T1-I-MNHV-2</t>
  </si>
  <si>
    <t>T1-I-MNHV-1</t>
  </si>
  <si>
    <t>T1-I-RCL-2</t>
  </si>
  <si>
    <t>T1-I-RCL-1</t>
  </si>
  <si>
    <t>T1-I-C1-2</t>
  </si>
  <si>
    <t>T1-I-C1-1</t>
  </si>
  <si>
    <t>T1-I-C2-2</t>
  </si>
  <si>
    <t>T1-I-C2-1</t>
  </si>
  <si>
    <t>T1-I-PRY-2</t>
  </si>
  <si>
    <t>T1-I-PRY-1</t>
  </si>
  <si>
    <t>percent_dw</t>
  </si>
  <si>
    <t xml:space="preserve">mean </t>
  </si>
  <si>
    <t>overall</t>
  </si>
  <si>
    <t>AUHV</t>
  </si>
  <si>
    <t>BWW</t>
  </si>
  <si>
    <t>C1</t>
  </si>
  <si>
    <t>C2</t>
  </si>
  <si>
    <t>MNHV</t>
  </si>
  <si>
    <t>ORG</t>
  </si>
  <si>
    <t>PRY</t>
  </si>
  <si>
    <t>RCL</t>
  </si>
  <si>
    <t>SWW</t>
  </si>
  <si>
    <t>T1-III-AUHV-1</t>
  </si>
  <si>
    <t>T1-III-AUHV-2</t>
  </si>
  <si>
    <t>T1-III-BWW-1</t>
  </si>
  <si>
    <t>T1-III-BWW-2</t>
  </si>
  <si>
    <t>T1-III-C1-1</t>
  </si>
  <si>
    <t>T1-III-C1-2</t>
  </si>
  <si>
    <t>T1-III-C2-1</t>
  </si>
  <si>
    <t>T1-III-C2-2</t>
  </si>
  <si>
    <t>T1-III-MNHV-1</t>
  </si>
  <si>
    <t>T1-III-MNHV-2</t>
  </si>
  <si>
    <t>T1-III-ORG-1</t>
  </si>
  <si>
    <t>T1-III-ORG-2</t>
  </si>
  <si>
    <t>T1-III-PRY-1</t>
  </si>
  <si>
    <t>T1-III-PRY-2</t>
  </si>
  <si>
    <t>T1-III-RCL-1</t>
  </si>
  <si>
    <t>T1-III-RCL-2</t>
  </si>
  <si>
    <t>T1-III-SWW-1</t>
  </si>
  <si>
    <t>T1-III-SWW-2</t>
  </si>
  <si>
    <t>timepoint</t>
  </si>
  <si>
    <t>field_rep</t>
  </si>
  <si>
    <t>tech_rep</t>
  </si>
  <si>
    <t>species</t>
  </si>
  <si>
    <t>T2-III-AUHV-1</t>
  </si>
  <si>
    <t>T2-III-AUHV-2</t>
  </si>
  <si>
    <t>T2-III-BWW-1</t>
  </si>
  <si>
    <t>T2-III-BWW-2</t>
  </si>
  <si>
    <t>T2-III-C1-1</t>
  </si>
  <si>
    <t>T2-III-C1-2</t>
  </si>
  <si>
    <t>T2-III-C2-1</t>
  </si>
  <si>
    <t>T2-III-C2-2</t>
  </si>
  <si>
    <t>T2-III-MNHV-1</t>
  </si>
  <si>
    <t>T2-III-MNHV-2</t>
  </si>
  <si>
    <t>T2-III-ORG-1</t>
  </si>
  <si>
    <t>T2-III-ORG-2</t>
  </si>
  <si>
    <t>T2-III-PRY-1</t>
  </si>
  <si>
    <t>T2-III-PRY-2</t>
  </si>
  <si>
    <t>T2-III-RCL-1</t>
  </si>
  <si>
    <t>T2-III-RCL-2</t>
  </si>
  <si>
    <t>T2-III-SWW-1</t>
  </si>
  <si>
    <t>T2-III-SWW-2</t>
  </si>
  <si>
    <t>T2-I-AUHV-1</t>
  </si>
  <si>
    <t>T2-I-AUHV-2</t>
  </si>
  <si>
    <t>T2-I-BWW-1</t>
  </si>
  <si>
    <t>T2-I-BWW-2</t>
  </si>
  <si>
    <t>T2-I-C1-1</t>
  </si>
  <si>
    <t>T2-I-C1-2</t>
  </si>
  <si>
    <t>T2-I-C2-1</t>
  </si>
  <si>
    <t>T2-I-C2-2</t>
  </si>
  <si>
    <t>T2-I-MNHV-1</t>
  </si>
  <si>
    <t>T2-I-MNHV-2</t>
  </si>
  <si>
    <t>T2-I-ORG-1</t>
  </si>
  <si>
    <t>T2-I-ORG-2</t>
  </si>
  <si>
    <t>T2-I-PRY-1</t>
  </si>
  <si>
    <t>T2-I-PRY-2</t>
  </si>
  <si>
    <t>T2-I-RCL-1</t>
  </si>
  <si>
    <t>T2-I-RCL-2</t>
  </si>
  <si>
    <t>T2-I-SWW-1</t>
  </si>
  <si>
    <t>T2-I-SWW-2</t>
  </si>
  <si>
    <t>T2-II-AUHV-1</t>
  </si>
  <si>
    <t>T2-II-AUHV-2</t>
  </si>
  <si>
    <t>T2-II-BWW-1</t>
  </si>
  <si>
    <t>T2-II-BWW-2</t>
  </si>
  <si>
    <t>T2-II-C1-1</t>
  </si>
  <si>
    <t>T2-II-C1-2</t>
  </si>
  <si>
    <t>T2-II-C2-1</t>
  </si>
  <si>
    <t>T2-II-C2-2</t>
  </si>
  <si>
    <t>T2-II-MNHV-1</t>
  </si>
  <si>
    <t>T2-II-MNHV-2</t>
  </si>
  <si>
    <t>T2-II-ORG-1</t>
  </si>
  <si>
    <t>T2-II-ORG-2</t>
  </si>
  <si>
    <t>T2-II-PRY-1</t>
  </si>
  <si>
    <t>T2-II-PRY-2</t>
  </si>
  <si>
    <t>T2-II-RCL-1</t>
  </si>
  <si>
    <t>T2-II-RCL-2</t>
  </si>
  <si>
    <t>T2-II-SWW-1</t>
  </si>
  <si>
    <t>T2-II-SWW-2</t>
  </si>
  <si>
    <t>T2-IV-AUHV-1</t>
  </si>
  <si>
    <t>T2-IV-AUHV-2</t>
  </si>
  <si>
    <t>T2-IV-BWW-1</t>
  </si>
  <si>
    <t>T2-IV-BWW-2</t>
  </si>
  <si>
    <t>T2-IV-C1-1</t>
  </si>
  <si>
    <t>T2-IV-C1-2</t>
  </si>
  <si>
    <t>T2-IV-C2-1</t>
  </si>
  <si>
    <t>T2-IV-C2-2</t>
  </si>
  <si>
    <t>T2-IV-MNHV-1</t>
  </si>
  <si>
    <t>T2-IV-MNHV-2</t>
  </si>
  <si>
    <t>T2-IV-ORG-1</t>
  </si>
  <si>
    <t>T2-IV-ORG-2</t>
  </si>
  <si>
    <t>T2-IV-PRY-1</t>
  </si>
  <si>
    <t>T2-IV-PRY-2</t>
  </si>
  <si>
    <t>T2-IV-RCL-1</t>
  </si>
  <si>
    <t>T2-IV-RCL-2</t>
  </si>
  <si>
    <t>T2-IV-SWW-1</t>
  </si>
  <si>
    <t>T2-IV-SWW-2</t>
  </si>
  <si>
    <t>TARED</t>
  </si>
  <si>
    <t>III</t>
  </si>
  <si>
    <t>I</t>
  </si>
  <si>
    <t>II</t>
  </si>
  <si>
    <t>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</si>
</sst>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8</v>
    <v>71</v>
    <v>1</v>
  </rv>
  <rv s="0">
    <v>0</v>
    <v>8</v>
    <v>0</v>
    <v>3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7253-6659-6C48-91A5-F465869603AC}">
  <dimension ref="A1:O73"/>
  <sheetViews>
    <sheetView workbookViewId="0">
      <pane ySplit="1" topLeftCell="A2" activePane="bottomLeft" state="frozen"/>
      <selection pane="bottomLeft" activeCell="O21" sqref="O21"/>
    </sheetView>
  </sheetViews>
  <sheetFormatPr baseColWidth="10" defaultRowHeight="16" x14ac:dyDescent="0.2"/>
  <cols>
    <col min="1" max="5" width="13.5" customWidth="1"/>
    <col min="7" max="8" width="14.6640625" customWidth="1"/>
    <col min="9" max="9" width="16.1640625" customWidth="1"/>
    <col min="10" max="10" width="12.33203125" customWidth="1"/>
  </cols>
  <sheetData>
    <row r="1" spans="1:15" x14ac:dyDescent="0.2">
      <c r="A1" t="s">
        <v>0</v>
      </c>
      <c r="B1" t="s">
        <v>90</v>
      </c>
      <c r="C1" t="s">
        <v>91</v>
      </c>
      <c r="D1" t="s">
        <v>92</v>
      </c>
      <c r="E1" t="s">
        <v>93</v>
      </c>
      <c r="F1" t="s">
        <v>1</v>
      </c>
      <c r="G1" t="s">
        <v>2</v>
      </c>
      <c r="H1" t="s">
        <v>4</v>
      </c>
      <c r="I1" t="s">
        <v>3</v>
      </c>
      <c r="J1" t="s">
        <v>5</v>
      </c>
      <c r="K1" t="s">
        <v>60</v>
      </c>
      <c r="O1" t="s">
        <v>61</v>
      </c>
    </row>
    <row r="2" spans="1:15" x14ac:dyDescent="0.2">
      <c r="A2" t="s">
        <v>72</v>
      </c>
      <c r="C2" t="str" cm="1">
        <f t="array" ref="C2">_xlfn.IFS(
ISNUMBER(SEARCH("IV*",A2)),"IV",
ISNUMBER(SEARCH("III*",A2)),"III",
ISNUMBER(SEARCH("II*",A2)),"II",
ISNUMBER(SEARCH("I*",A2)),"I")</f>
        <v>III</v>
      </c>
      <c r="D2" cm="1">
        <f t="array" ref="D2">_xlfn.IFS(
ISNUMBER(SEARCH("-1*",A2)),1,
ISNUMBER(SEARCH("-2*",A2)),2)</f>
        <v>1</v>
      </c>
      <c r="E2" t="str" cm="1">
        <f t="array" ref="E2">_xlfn.IFS(
ISNUMBER(SEARCH("AUHV*",A2)),"AUHV",
ISNUMBER(SEARCH("BWW*",A2)),"BWW",
ISNUMBER(SEARCH("C1*",A2)),"C1",
ISNUMBER(SEARCH("C2*",A2)),"C2",
ISNUMBER(SEARCH("ORG*",A2)),"ORG",
ISNUMBER(SEARCH("PRY*",A2)),"PRY",
ISNUMBER(SEARCH("RCL*",A2)),"RCL",
ISNUMBER(SEARCH("SWW*",A2)),"SWW",
ISNUMBER(SEARCH("MNHV*",A2)),"MNHV")</f>
        <v>AUHV</v>
      </c>
      <c r="F2">
        <v>3.03</v>
      </c>
      <c r="G2">
        <v>29.31</v>
      </c>
      <c r="H2">
        <f t="shared" ref="H2:H33" si="0">G2-F2</f>
        <v>26.279999999999998</v>
      </c>
      <c r="I2">
        <v>22.75</v>
      </c>
      <c r="J2">
        <f t="shared" ref="J2:J33" si="1">I2-F2</f>
        <v>19.72</v>
      </c>
      <c r="K2">
        <f t="shared" ref="K2:K33" si="2">J2/H2</f>
        <v>0.75038051750380519</v>
      </c>
      <c r="N2" t="s">
        <v>62</v>
      </c>
      <c r="O2">
        <f>AVERAGE(K32:K103)</f>
        <v>0.76289586413563337</v>
      </c>
    </row>
    <row r="3" spans="1:15" x14ac:dyDescent="0.2">
      <c r="A3" t="s">
        <v>73</v>
      </c>
      <c r="C3" t="str" cm="1">
        <f t="array" ref="C3">_xlfn.IFS(
ISNUMBER(SEARCH("IV*",A3)),"IV",
ISNUMBER(SEARCH("III*",A3)),"III",
ISNUMBER(SEARCH("II*",A3)),"II",
ISNUMBER(SEARCH("I*",A3)),"I")</f>
        <v>III</v>
      </c>
      <c r="D3" cm="1">
        <f t="array" ref="D3">_xlfn.IFS(
ISNUMBER(SEARCH("-1*",A3)),1,
ISNUMBER(SEARCH("-2*",A3)),2)</f>
        <v>2</v>
      </c>
      <c r="E3" t="str" cm="1">
        <f t="array" ref="E3">_xlfn.IFS(
ISNUMBER(SEARCH("AUHV*",A3)),"AUHV",
ISNUMBER(SEARCH("BWW*",A3)),"BWW",
ISNUMBER(SEARCH("C1*",A3)),"C1",
ISNUMBER(SEARCH("C2*",A3)),"C2",
ISNUMBER(SEARCH("ORG*",A3)),"ORG",
ISNUMBER(SEARCH("PRY*",A3)),"PRY",
ISNUMBER(SEARCH("RCL*",A3)),"RCL",
ISNUMBER(SEARCH("SWW*",A3)),"SWW",
ISNUMBER(SEARCH("MNHV*",A3)),"MNHV")</f>
        <v>AUHV</v>
      </c>
      <c r="F3">
        <v>2.95</v>
      </c>
      <c r="G3">
        <v>23.84</v>
      </c>
      <c r="H3">
        <f t="shared" si="0"/>
        <v>20.89</v>
      </c>
      <c r="I3">
        <v>18.63</v>
      </c>
      <c r="J3">
        <f t="shared" si="1"/>
        <v>15.68</v>
      </c>
      <c r="K3">
        <f t="shared" si="2"/>
        <v>0.75059837242699856</v>
      </c>
      <c r="N3" t="s">
        <v>63</v>
      </c>
      <c r="O3" t="e" cm="1" vm="1">
        <f t="array" aca="1" ref="O3" ca="1">AVERAGEIF(K2:K73,E2:E73="AUHV")</f>
        <v>#VALUE!</v>
      </c>
    </row>
    <row r="4" spans="1:15" x14ac:dyDescent="0.2">
      <c r="A4" t="s">
        <v>74</v>
      </c>
      <c r="C4" t="str" cm="1">
        <f t="array" ref="C4">_xlfn.IFS(
ISNUMBER(SEARCH("IV*",A4)),"IV",
ISNUMBER(SEARCH("III*",A4)),"III",
ISNUMBER(SEARCH("II*",A4)),"II",
ISNUMBER(SEARCH("I*",A4)),"I")</f>
        <v>III</v>
      </c>
      <c r="D4" cm="1">
        <f t="array" ref="D4">_xlfn.IFS(
ISNUMBER(SEARCH("-1*",A4)),1,
ISNUMBER(SEARCH("-2*",A4)),2)</f>
        <v>1</v>
      </c>
      <c r="E4" t="str" cm="1">
        <f t="array" ref="E4">_xlfn.IFS(
ISNUMBER(SEARCH("AUHV*",A4)),"AUHV",
ISNUMBER(SEARCH("BWW*",A4)),"BWW",
ISNUMBER(SEARCH("C1*",A4)),"C1",
ISNUMBER(SEARCH("C2*",A4)),"C2",
ISNUMBER(SEARCH("ORG*",A4)),"ORG",
ISNUMBER(SEARCH("PRY*",A4)),"PRY",
ISNUMBER(SEARCH("RCL*",A4)),"RCL",
ISNUMBER(SEARCH("SWW*",A4)),"SWW",
ISNUMBER(SEARCH("MNHV*",A4)),"MNHV")</f>
        <v>BWW</v>
      </c>
      <c r="F4">
        <v>3.2</v>
      </c>
      <c r="G4">
        <v>26.73</v>
      </c>
      <c r="H4">
        <f t="shared" si="0"/>
        <v>23.53</v>
      </c>
      <c r="I4">
        <v>20.3</v>
      </c>
      <c r="J4">
        <f t="shared" si="1"/>
        <v>17.100000000000001</v>
      </c>
      <c r="K4">
        <f t="shared" si="2"/>
        <v>0.72673183170420741</v>
      </c>
      <c r="N4" t="s">
        <v>64</v>
      </c>
      <c r="O4" t="e" cm="1" vm="2">
        <f t="array" aca="1" ref="O4" ca="1">AVERAGEIF(K:K,E:E=N4)</f>
        <v>#VALUE!</v>
      </c>
    </row>
    <row r="5" spans="1:15" x14ac:dyDescent="0.2">
      <c r="A5" t="s">
        <v>75</v>
      </c>
      <c r="C5" t="str" cm="1">
        <f t="array" ref="C5">_xlfn.IFS(
ISNUMBER(SEARCH("IV*",A5)),"IV",
ISNUMBER(SEARCH("III*",A5)),"III",
ISNUMBER(SEARCH("II*",A5)),"II",
ISNUMBER(SEARCH("I*",A5)),"I")</f>
        <v>III</v>
      </c>
      <c r="D5" cm="1">
        <f t="array" ref="D5">_xlfn.IFS(
ISNUMBER(SEARCH("-1*",A5)),1,
ISNUMBER(SEARCH("-2*",A5)),2)</f>
        <v>2</v>
      </c>
      <c r="E5" t="str" cm="1">
        <f t="array" ref="E5">_xlfn.IFS(
ISNUMBER(SEARCH("AUHV*",A5)),"AUHV",
ISNUMBER(SEARCH("BWW*",A5)),"BWW",
ISNUMBER(SEARCH("C1*",A5)),"C1",
ISNUMBER(SEARCH("C2*",A5)),"C2",
ISNUMBER(SEARCH("ORG*",A5)),"ORG",
ISNUMBER(SEARCH("PRY*",A5)),"PRY",
ISNUMBER(SEARCH("RCL*",A5)),"RCL",
ISNUMBER(SEARCH("SWW*",A5)),"SWW",
ISNUMBER(SEARCH("MNHV*",A5)),"MNHV")</f>
        <v>BWW</v>
      </c>
      <c r="F5">
        <v>3.21</v>
      </c>
      <c r="G5">
        <v>34.56</v>
      </c>
      <c r="H5">
        <f t="shared" si="0"/>
        <v>31.35</v>
      </c>
      <c r="I5">
        <v>25.98</v>
      </c>
      <c r="J5">
        <f t="shared" si="1"/>
        <v>22.77</v>
      </c>
      <c r="K5">
        <f t="shared" si="2"/>
        <v>0.72631578947368414</v>
      </c>
      <c r="N5" t="s">
        <v>65</v>
      </c>
      <c r="O5" t="e" cm="1" vm="2">
        <f t="array" aca="1" ref="O5" ca="1">AVERAGEIF(K:K,E:E=N5)</f>
        <v>#VALUE!</v>
      </c>
    </row>
    <row r="6" spans="1:15" x14ac:dyDescent="0.2">
      <c r="A6" t="s">
        <v>76</v>
      </c>
      <c r="C6" t="str" cm="1">
        <f t="array" ref="C6">_xlfn.IFS(
ISNUMBER(SEARCH("IV*",A6)),"IV",
ISNUMBER(SEARCH("III*",A6)),"III",
ISNUMBER(SEARCH("II*",A6)),"II",
ISNUMBER(SEARCH("I*",A6)),"I")</f>
        <v>III</v>
      </c>
      <c r="D6" cm="1">
        <f t="array" ref="D6">_xlfn.IFS(
ISNUMBER(SEARCH("-1*",A6)),1,
ISNUMBER(SEARCH("-2*",A6)),2)</f>
        <v>1</v>
      </c>
      <c r="E6" t="str" cm="1">
        <f t="array" ref="E6">_xlfn.IFS(
ISNUMBER(SEARCH("AUHV*",A6)),"AUHV",
ISNUMBER(SEARCH("BWW*",A6)),"BWW",
ISNUMBER(SEARCH("C1*",A6)),"C1",
ISNUMBER(SEARCH("C2*",A6)),"C2",
ISNUMBER(SEARCH("ORG*",A6)),"ORG",
ISNUMBER(SEARCH("PRY*",A6)),"PRY",
ISNUMBER(SEARCH("RCL*",A6)),"RCL",
ISNUMBER(SEARCH("SWW*",A6)),"SWW",
ISNUMBER(SEARCH("MNHV*",A6)),"MNHV")</f>
        <v>C1</v>
      </c>
      <c r="F6">
        <v>3.21</v>
      </c>
      <c r="G6">
        <v>30.89</v>
      </c>
      <c r="H6">
        <f t="shared" si="0"/>
        <v>27.68</v>
      </c>
      <c r="I6">
        <v>23.98</v>
      </c>
      <c r="J6">
        <f t="shared" si="1"/>
        <v>20.77</v>
      </c>
      <c r="K6">
        <f t="shared" si="2"/>
        <v>0.75036127167630062</v>
      </c>
      <c r="N6" t="s">
        <v>66</v>
      </c>
      <c r="O6" t="e" cm="1" vm="2">
        <f t="array" aca="1" ref="O6" ca="1">AVERAGEIF(K:K,E:E=N6)</f>
        <v>#VALUE!</v>
      </c>
    </row>
    <row r="7" spans="1:15" x14ac:dyDescent="0.2">
      <c r="A7" t="s">
        <v>77</v>
      </c>
      <c r="C7" t="str" cm="1">
        <f t="array" ref="C7">_xlfn.IFS(
ISNUMBER(SEARCH("IV*",A7)),"IV",
ISNUMBER(SEARCH("III*",A7)),"III",
ISNUMBER(SEARCH("II*",A7)),"II",
ISNUMBER(SEARCH("I*",A7)),"I")</f>
        <v>III</v>
      </c>
      <c r="D7" cm="1">
        <f t="array" ref="D7">_xlfn.IFS(
ISNUMBER(SEARCH("-1*",A7)),1,
ISNUMBER(SEARCH("-2*",A7)),2)</f>
        <v>2</v>
      </c>
      <c r="E7" t="str" cm="1">
        <f t="array" ref="E7">_xlfn.IFS(
ISNUMBER(SEARCH("AUHV*",A7)),"AUHV",
ISNUMBER(SEARCH("BWW*",A7)),"BWW",
ISNUMBER(SEARCH("C1*",A7)),"C1",
ISNUMBER(SEARCH("C2*",A7)),"C2",
ISNUMBER(SEARCH("ORG*",A7)),"ORG",
ISNUMBER(SEARCH("PRY*",A7)),"PRY",
ISNUMBER(SEARCH("RCL*",A7)),"RCL",
ISNUMBER(SEARCH("SWW*",A7)),"SWW",
ISNUMBER(SEARCH("MNHV*",A7)),"MNHV")</f>
        <v>C1</v>
      </c>
      <c r="F7">
        <v>3.07</v>
      </c>
      <c r="G7">
        <v>28.55</v>
      </c>
      <c r="H7">
        <f t="shared" si="0"/>
        <v>25.48</v>
      </c>
      <c r="I7">
        <v>22.17</v>
      </c>
      <c r="J7">
        <f t="shared" si="1"/>
        <v>19.100000000000001</v>
      </c>
      <c r="K7">
        <f t="shared" si="2"/>
        <v>0.74960753532182112</v>
      </c>
      <c r="N7" t="s">
        <v>67</v>
      </c>
      <c r="O7" t="e" cm="1" vm="2">
        <f t="array" aca="1" ref="O7" ca="1">AVERAGEIF(K:K,E:E=N7)</f>
        <v>#VALUE!</v>
      </c>
    </row>
    <row r="8" spans="1:15" x14ac:dyDescent="0.2">
      <c r="A8" t="s">
        <v>78</v>
      </c>
      <c r="C8" t="str" cm="1">
        <f t="array" ref="C8">_xlfn.IFS(
ISNUMBER(SEARCH("IV*",A8)),"IV",
ISNUMBER(SEARCH("III*",A8)),"III",
ISNUMBER(SEARCH("II*",A8)),"II",
ISNUMBER(SEARCH("I*",A8)),"I")</f>
        <v>III</v>
      </c>
      <c r="D8" cm="1">
        <f t="array" ref="D8">_xlfn.IFS(
ISNUMBER(SEARCH("-1*",A8)),1,
ISNUMBER(SEARCH("-2*",A8)),2)</f>
        <v>1</v>
      </c>
      <c r="E8" t="str" cm="1">
        <f t="array" ref="E8">_xlfn.IFS(
ISNUMBER(SEARCH("AUHV*",A8)),"AUHV",
ISNUMBER(SEARCH("BWW*",A8)),"BWW",
ISNUMBER(SEARCH("C1*",A8)),"C1",
ISNUMBER(SEARCH("C2*",A8)),"C2",
ISNUMBER(SEARCH("ORG*",A8)),"ORG",
ISNUMBER(SEARCH("PRY*",A8)),"PRY",
ISNUMBER(SEARCH("RCL*",A8)),"RCL",
ISNUMBER(SEARCH("SWW*",A8)),"SWW",
ISNUMBER(SEARCH("MNHV*",A8)),"MNHV")</f>
        <v>C2</v>
      </c>
      <c r="F8">
        <v>2.98</v>
      </c>
      <c r="G8">
        <v>26.55</v>
      </c>
      <c r="H8">
        <f t="shared" si="0"/>
        <v>23.57</v>
      </c>
      <c r="I8">
        <v>20.69</v>
      </c>
      <c r="J8">
        <f t="shared" si="1"/>
        <v>17.71</v>
      </c>
      <c r="K8">
        <f t="shared" si="2"/>
        <v>0.75137887144675441</v>
      </c>
      <c r="N8" t="s">
        <v>68</v>
      </c>
      <c r="O8" t="e" cm="1" vm="2">
        <f t="array" aca="1" ref="O8" ca="1">AVERAGEIF(K:K,E:E=N8)</f>
        <v>#VALUE!</v>
      </c>
    </row>
    <row r="9" spans="1:15" x14ac:dyDescent="0.2">
      <c r="A9" t="s">
        <v>79</v>
      </c>
      <c r="C9" t="str" cm="1">
        <f t="array" ref="C9">_xlfn.IFS(
ISNUMBER(SEARCH("IV*",A9)),"IV",
ISNUMBER(SEARCH("III*",A9)),"III",
ISNUMBER(SEARCH("II*",A9)),"II",
ISNUMBER(SEARCH("I*",A9)),"I")</f>
        <v>III</v>
      </c>
      <c r="D9" cm="1">
        <f t="array" ref="D9">_xlfn.IFS(
ISNUMBER(SEARCH("-1*",A9)),1,
ISNUMBER(SEARCH("-2*",A9)),2)</f>
        <v>2</v>
      </c>
      <c r="E9" t="str" cm="1">
        <f t="array" ref="E9">_xlfn.IFS(
ISNUMBER(SEARCH("AUHV*",A9)),"AUHV",
ISNUMBER(SEARCH("BWW*",A9)),"BWW",
ISNUMBER(SEARCH("C1*",A9)),"C1",
ISNUMBER(SEARCH("C2*",A9)),"C2",
ISNUMBER(SEARCH("ORG*",A9)),"ORG",
ISNUMBER(SEARCH("PRY*",A9)),"PRY",
ISNUMBER(SEARCH("RCL*",A9)),"RCL",
ISNUMBER(SEARCH("SWW*",A9)),"SWW",
ISNUMBER(SEARCH("MNHV*",A9)),"MNHV")</f>
        <v>C2</v>
      </c>
      <c r="F9">
        <v>2.97</v>
      </c>
      <c r="G9">
        <v>33.79</v>
      </c>
      <c r="H9">
        <f t="shared" si="0"/>
        <v>30.82</v>
      </c>
      <c r="I9">
        <v>26.18</v>
      </c>
      <c r="J9">
        <f t="shared" si="1"/>
        <v>23.21</v>
      </c>
      <c r="K9">
        <f t="shared" si="2"/>
        <v>0.75308241401687215</v>
      </c>
      <c r="N9" t="s">
        <v>69</v>
      </c>
      <c r="O9" t="e" cm="1" vm="2">
        <f t="array" aca="1" ref="O9" ca="1">AVERAGEIF(K:K,E:E=N9)</f>
        <v>#VALUE!</v>
      </c>
    </row>
    <row r="10" spans="1:15" x14ac:dyDescent="0.2">
      <c r="A10" t="s">
        <v>80</v>
      </c>
      <c r="C10" t="str" cm="1">
        <f t="array" ref="C10">_xlfn.IFS(
ISNUMBER(SEARCH("IV*",A10)),"IV",
ISNUMBER(SEARCH("III*",A10)),"III",
ISNUMBER(SEARCH("II*",A10)),"II",
ISNUMBER(SEARCH("I*",A10)),"I")</f>
        <v>III</v>
      </c>
      <c r="D10" cm="1">
        <f t="array" ref="D10">_xlfn.IFS(
ISNUMBER(SEARCH("-1*",A10)),1,
ISNUMBER(SEARCH("-2*",A10)),2)</f>
        <v>1</v>
      </c>
      <c r="E10" t="str" cm="1">
        <f t="array" ref="E10">_xlfn.IFS(
ISNUMBER(SEARCH("AUHV*",A10)),"AUHV",
ISNUMBER(SEARCH("BWW*",A10)),"BWW",
ISNUMBER(SEARCH("C1*",A10)),"C1",
ISNUMBER(SEARCH("C2*",A10)),"C2",
ISNUMBER(SEARCH("ORG*",A10)),"ORG",
ISNUMBER(SEARCH("PRY*",A10)),"PRY",
ISNUMBER(SEARCH("RCL*",A10)),"RCL",
ISNUMBER(SEARCH("SWW*",A10)),"SWW",
ISNUMBER(SEARCH("MNHV*",A10)),"MNHV")</f>
        <v>MNHV</v>
      </c>
      <c r="F10">
        <v>2.98</v>
      </c>
      <c r="G10">
        <v>24.09</v>
      </c>
      <c r="H10">
        <f t="shared" si="0"/>
        <v>21.11</v>
      </c>
      <c r="I10">
        <v>18.77</v>
      </c>
      <c r="J10">
        <f t="shared" si="1"/>
        <v>15.79</v>
      </c>
      <c r="K10">
        <f t="shared" si="2"/>
        <v>0.74798673614400757</v>
      </c>
      <c r="N10" t="s">
        <v>70</v>
      </c>
      <c r="O10" t="e" cm="1" vm="2">
        <f t="array" aca="1" ref="O10" ca="1">AVERAGEIF(K:K,E:E=N10)</f>
        <v>#VALUE!</v>
      </c>
    </row>
    <row r="11" spans="1:15" x14ac:dyDescent="0.2">
      <c r="A11" t="s">
        <v>81</v>
      </c>
      <c r="C11" t="str" cm="1">
        <f t="array" ref="C11">_xlfn.IFS(
ISNUMBER(SEARCH("IV*",A11)),"IV",
ISNUMBER(SEARCH("III*",A11)),"III",
ISNUMBER(SEARCH("II*",A11)),"II",
ISNUMBER(SEARCH("I*",A11)),"I")</f>
        <v>III</v>
      </c>
      <c r="D11" cm="1">
        <f t="array" ref="D11">_xlfn.IFS(
ISNUMBER(SEARCH("-1*",A11)),1,
ISNUMBER(SEARCH("-2*",A11)),2)</f>
        <v>2</v>
      </c>
      <c r="E11" t="str" cm="1">
        <f t="array" ref="E11">_xlfn.IFS(
ISNUMBER(SEARCH("AUHV*",A11)),"AUHV",
ISNUMBER(SEARCH("BWW*",A11)),"BWW",
ISNUMBER(SEARCH("C1*",A11)),"C1",
ISNUMBER(SEARCH("C2*",A11)),"C2",
ISNUMBER(SEARCH("ORG*",A11)),"ORG",
ISNUMBER(SEARCH("PRY*",A11)),"PRY",
ISNUMBER(SEARCH("RCL*",A11)),"RCL",
ISNUMBER(SEARCH("SWW*",A11)),"SWW",
ISNUMBER(SEARCH("MNHV*",A11)),"MNHV")</f>
        <v>MNHV</v>
      </c>
      <c r="F11">
        <v>3.17</v>
      </c>
      <c r="G11">
        <v>30.43</v>
      </c>
      <c r="H11">
        <f t="shared" si="0"/>
        <v>27.259999999999998</v>
      </c>
      <c r="I11">
        <v>23.64</v>
      </c>
      <c r="J11">
        <f t="shared" si="1"/>
        <v>20.47</v>
      </c>
      <c r="K11">
        <f t="shared" si="2"/>
        <v>0.75091709464416734</v>
      </c>
      <c r="N11" t="s">
        <v>71</v>
      </c>
      <c r="O11" t="e" cm="1" vm="2">
        <f t="array" aca="1" ref="O11" ca="1">AVERAGEIF(K:K,E:E=N11)</f>
        <v>#VALUE!</v>
      </c>
    </row>
    <row r="12" spans="1:15" x14ac:dyDescent="0.2">
      <c r="A12" t="s">
        <v>82</v>
      </c>
      <c r="C12" t="str" cm="1">
        <f t="array" ref="C12">_xlfn.IFS(
ISNUMBER(SEARCH("IV*",A12)),"IV",
ISNUMBER(SEARCH("III*",A12)),"III",
ISNUMBER(SEARCH("II*",A12)),"II",
ISNUMBER(SEARCH("I*",A12)),"I")</f>
        <v>III</v>
      </c>
      <c r="D12" cm="1">
        <f t="array" ref="D12">_xlfn.IFS(
ISNUMBER(SEARCH("-1*",A12)),1,
ISNUMBER(SEARCH("-2*",A12)),2)</f>
        <v>1</v>
      </c>
      <c r="E12" t="str" cm="1">
        <f t="array" ref="E12">_xlfn.IFS(
ISNUMBER(SEARCH("AUHV*",A12)),"AUHV",
ISNUMBER(SEARCH("BWW*",A12)),"BWW",
ISNUMBER(SEARCH("C1*",A12)),"C1",
ISNUMBER(SEARCH("C2*",A12)),"C2",
ISNUMBER(SEARCH("ORG*",A12)),"ORG",
ISNUMBER(SEARCH("PRY*",A12)),"PRY",
ISNUMBER(SEARCH("RCL*",A12)),"RCL",
ISNUMBER(SEARCH("SWW*",A12)),"SWW",
ISNUMBER(SEARCH("MNHV*",A12)),"MNHV")</f>
        <v>ORG</v>
      </c>
      <c r="F12">
        <v>3.17</v>
      </c>
      <c r="G12">
        <v>35.06</v>
      </c>
      <c r="H12">
        <f t="shared" si="0"/>
        <v>31.89</v>
      </c>
      <c r="I12">
        <v>27.7</v>
      </c>
      <c r="J12">
        <f t="shared" si="1"/>
        <v>24.53</v>
      </c>
      <c r="K12">
        <f t="shared" si="2"/>
        <v>0.76920664785199122</v>
      </c>
    </row>
    <row r="13" spans="1:15" x14ac:dyDescent="0.2">
      <c r="A13" t="s">
        <v>83</v>
      </c>
      <c r="C13" t="str" cm="1">
        <f t="array" ref="C13">_xlfn.IFS(
ISNUMBER(SEARCH("IV*",A13)),"IV",
ISNUMBER(SEARCH("III*",A13)),"III",
ISNUMBER(SEARCH("II*",A13)),"II",
ISNUMBER(SEARCH("I*",A13)),"I")</f>
        <v>III</v>
      </c>
      <c r="D13" cm="1">
        <f t="array" ref="D13">_xlfn.IFS(
ISNUMBER(SEARCH("-1*",A13)),1,
ISNUMBER(SEARCH("-2*",A13)),2)</f>
        <v>2</v>
      </c>
      <c r="E13" t="str" cm="1">
        <f t="array" ref="E13">_xlfn.IFS(
ISNUMBER(SEARCH("AUHV*",A13)),"AUHV",
ISNUMBER(SEARCH("BWW*",A13)),"BWW",
ISNUMBER(SEARCH("C1*",A13)),"C1",
ISNUMBER(SEARCH("C2*",A13)),"C2",
ISNUMBER(SEARCH("ORG*",A13)),"ORG",
ISNUMBER(SEARCH("PRY*",A13)),"PRY",
ISNUMBER(SEARCH("RCL*",A13)),"RCL",
ISNUMBER(SEARCH("SWW*",A13)),"SWW",
ISNUMBER(SEARCH("MNHV*",A13)),"MNHV")</f>
        <v>ORG</v>
      </c>
      <c r="F13">
        <v>2.95</v>
      </c>
      <c r="G13">
        <v>34.49</v>
      </c>
      <c r="H13">
        <f t="shared" si="0"/>
        <v>31.540000000000003</v>
      </c>
      <c r="I13">
        <v>27.18</v>
      </c>
      <c r="J13">
        <f t="shared" si="1"/>
        <v>24.23</v>
      </c>
      <c r="K13">
        <f t="shared" si="2"/>
        <v>0.7682308180088776</v>
      </c>
    </row>
    <row r="14" spans="1:15" x14ac:dyDescent="0.2">
      <c r="A14" t="s">
        <v>84</v>
      </c>
      <c r="C14" t="str" cm="1">
        <f t="array" ref="C14">_xlfn.IFS(
ISNUMBER(SEARCH("IV*",A14)),"IV",
ISNUMBER(SEARCH("III*",A14)),"III",
ISNUMBER(SEARCH("II*",A14)),"II",
ISNUMBER(SEARCH("I*",A14)),"I")</f>
        <v>III</v>
      </c>
      <c r="D14" cm="1">
        <f t="array" ref="D14">_xlfn.IFS(
ISNUMBER(SEARCH("-1*",A14)),1,
ISNUMBER(SEARCH("-2*",A14)),2)</f>
        <v>1</v>
      </c>
      <c r="E14" t="str" cm="1">
        <f t="array" ref="E14">_xlfn.IFS(
ISNUMBER(SEARCH("AUHV*",A14)),"AUHV",
ISNUMBER(SEARCH("BWW*",A14)),"BWW",
ISNUMBER(SEARCH("C1*",A14)),"C1",
ISNUMBER(SEARCH("C2*",A14)),"C2",
ISNUMBER(SEARCH("ORG*",A14)),"ORG",
ISNUMBER(SEARCH("PRY*",A14)),"PRY",
ISNUMBER(SEARCH("RCL*",A14)),"RCL",
ISNUMBER(SEARCH("SWW*",A14)),"SWW",
ISNUMBER(SEARCH("MNHV*",A14)),"MNHV")</f>
        <v>PRY</v>
      </c>
      <c r="F14">
        <v>3.14</v>
      </c>
      <c r="G14">
        <v>39.380000000000003</v>
      </c>
      <c r="H14">
        <f t="shared" si="0"/>
        <v>36.24</v>
      </c>
      <c r="I14">
        <v>30.64</v>
      </c>
      <c r="J14">
        <f t="shared" si="1"/>
        <v>27.5</v>
      </c>
      <c r="K14">
        <f t="shared" si="2"/>
        <v>0.75883002207505512</v>
      </c>
    </row>
    <row r="15" spans="1:15" x14ac:dyDescent="0.2">
      <c r="A15" t="s">
        <v>85</v>
      </c>
      <c r="C15" t="str" cm="1">
        <f t="array" ref="C15">_xlfn.IFS(
ISNUMBER(SEARCH("IV*",A15)),"IV",
ISNUMBER(SEARCH("III*",A15)),"III",
ISNUMBER(SEARCH("II*",A15)),"II",
ISNUMBER(SEARCH("I*",A15)),"I")</f>
        <v>III</v>
      </c>
      <c r="D15" cm="1">
        <f t="array" ref="D15">_xlfn.IFS(
ISNUMBER(SEARCH("-1*",A15)),1,
ISNUMBER(SEARCH("-2*",A15)),2)</f>
        <v>2</v>
      </c>
      <c r="E15" t="str" cm="1">
        <f t="array" ref="E15">_xlfn.IFS(
ISNUMBER(SEARCH("AUHV*",A15)),"AUHV",
ISNUMBER(SEARCH("BWW*",A15)),"BWW",
ISNUMBER(SEARCH("C1*",A15)),"C1",
ISNUMBER(SEARCH("C2*",A15)),"C2",
ISNUMBER(SEARCH("ORG*",A15)),"ORG",
ISNUMBER(SEARCH("PRY*",A15)),"PRY",
ISNUMBER(SEARCH("RCL*",A15)),"RCL",
ISNUMBER(SEARCH("SWW*",A15)),"SWW",
ISNUMBER(SEARCH("MNHV*",A15)),"MNHV")</f>
        <v>PRY</v>
      </c>
      <c r="F15">
        <v>3.09</v>
      </c>
      <c r="G15">
        <v>37.04</v>
      </c>
      <c r="H15">
        <f t="shared" si="0"/>
        <v>33.950000000000003</v>
      </c>
      <c r="I15">
        <v>28.87</v>
      </c>
      <c r="J15">
        <f t="shared" si="1"/>
        <v>25.78</v>
      </c>
      <c r="K15">
        <f t="shared" si="2"/>
        <v>0.75935198821796757</v>
      </c>
    </row>
    <row r="16" spans="1:15" x14ac:dyDescent="0.2">
      <c r="A16" t="s">
        <v>86</v>
      </c>
      <c r="C16" t="str" cm="1">
        <f t="array" ref="C16">_xlfn.IFS(
ISNUMBER(SEARCH("IV*",A16)),"IV",
ISNUMBER(SEARCH("III*",A16)),"III",
ISNUMBER(SEARCH("II*",A16)),"II",
ISNUMBER(SEARCH("I*",A16)),"I")</f>
        <v>III</v>
      </c>
      <c r="D16" cm="1">
        <f t="array" ref="D16">_xlfn.IFS(
ISNUMBER(SEARCH("-1*",A16)),1,
ISNUMBER(SEARCH("-2*",A16)),2)</f>
        <v>1</v>
      </c>
      <c r="E16" t="str" cm="1">
        <f t="array" ref="E16">_xlfn.IFS(
ISNUMBER(SEARCH("AUHV*",A16)),"AUHV",
ISNUMBER(SEARCH("BWW*",A16)),"BWW",
ISNUMBER(SEARCH("C1*",A16)),"C1",
ISNUMBER(SEARCH("C2*",A16)),"C2",
ISNUMBER(SEARCH("ORG*",A16)),"ORG",
ISNUMBER(SEARCH("PRY*",A16)),"PRY",
ISNUMBER(SEARCH("RCL*",A16)),"RCL",
ISNUMBER(SEARCH("SWW*",A16)),"SWW",
ISNUMBER(SEARCH("MNHV*",A16)),"MNHV")</f>
        <v>RCL</v>
      </c>
      <c r="F16">
        <v>2.91</v>
      </c>
      <c r="G16">
        <v>26.5</v>
      </c>
      <c r="H16">
        <f t="shared" si="0"/>
        <v>23.59</v>
      </c>
      <c r="I16">
        <v>21.3</v>
      </c>
      <c r="J16">
        <f t="shared" si="1"/>
        <v>18.39</v>
      </c>
      <c r="K16">
        <f t="shared" si="2"/>
        <v>0.77956761339550662</v>
      </c>
    </row>
    <row r="17" spans="1:11" x14ac:dyDescent="0.2">
      <c r="A17" t="s">
        <v>87</v>
      </c>
      <c r="C17" t="str" cm="1">
        <f t="array" ref="C17">_xlfn.IFS(
ISNUMBER(SEARCH("IV*",A17)),"IV",
ISNUMBER(SEARCH("III*",A17)),"III",
ISNUMBER(SEARCH("II*",A17)),"II",
ISNUMBER(SEARCH("I*",A17)),"I")</f>
        <v>III</v>
      </c>
      <c r="D17" cm="1">
        <f t="array" ref="D17">_xlfn.IFS(
ISNUMBER(SEARCH("-1*",A17)),1,
ISNUMBER(SEARCH("-2*",A17)),2)</f>
        <v>2</v>
      </c>
      <c r="E17" t="str" cm="1">
        <f t="array" ref="E17">_xlfn.IFS(
ISNUMBER(SEARCH("AUHV*",A17)),"AUHV",
ISNUMBER(SEARCH("BWW*",A17)),"BWW",
ISNUMBER(SEARCH("C1*",A17)),"C1",
ISNUMBER(SEARCH("C2*",A17)),"C2",
ISNUMBER(SEARCH("ORG*",A17)),"ORG",
ISNUMBER(SEARCH("PRY*",A17)),"PRY",
ISNUMBER(SEARCH("RCL*",A17)),"RCL",
ISNUMBER(SEARCH("SWW*",A17)),"SWW",
ISNUMBER(SEARCH("MNHV*",A17)),"MNHV")</f>
        <v>RCL</v>
      </c>
      <c r="F17">
        <v>2.89</v>
      </c>
      <c r="G17">
        <v>25.99</v>
      </c>
      <c r="H17">
        <f t="shared" si="0"/>
        <v>23.099999999999998</v>
      </c>
      <c r="I17">
        <v>20.88</v>
      </c>
      <c r="J17">
        <f t="shared" si="1"/>
        <v>17.989999999999998</v>
      </c>
      <c r="K17">
        <f t="shared" si="2"/>
        <v>0.77878787878787881</v>
      </c>
    </row>
    <row r="18" spans="1:11" x14ac:dyDescent="0.2">
      <c r="A18" t="s">
        <v>88</v>
      </c>
      <c r="C18" t="str" cm="1">
        <f t="array" ref="C18">_xlfn.IFS(
ISNUMBER(SEARCH("IV*",A18)),"IV",
ISNUMBER(SEARCH("III*",A18)),"III",
ISNUMBER(SEARCH("II*",A18)),"II",
ISNUMBER(SEARCH("I*",A18)),"I")</f>
        <v>III</v>
      </c>
      <c r="D18" cm="1">
        <f t="array" ref="D18">_xlfn.IFS(
ISNUMBER(SEARCH("-1*",A18)),1,
ISNUMBER(SEARCH("-2*",A18)),2)</f>
        <v>1</v>
      </c>
      <c r="E18" t="str" cm="1">
        <f t="array" ref="E18">_xlfn.IFS(
ISNUMBER(SEARCH("AUHV*",A18)),"AUHV",
ISNUMBER(SEARCH("BWW*",A18)),"BWW",
ISNUMBER(SEARCH("C1*",A18)),"C1",
ISNUMBER(SEARCH("C2*",A18)),"C2",
ISNUMBER(SEARCH("ORG*",A18)),"ORG",
ISNUMBER(SEARCH("PRY*",A18)),"PRY",
ISNUMBER(SEARCH("RCL*",A18)),"RCL",
ISNUMBER(SEARCH("SWW*",A18)),"SWW",
ISNUMBER(SEARCH("MNHV*",A18)),"MNHV")</f>
        <v>SWW</v>
      </c>
      <c r="F18">
        <v>3.07</v>
      </c>
      <c r="G18">
        <v>32.36</v>
      </c>
      <c r="H18">
        <f t="shared" si="0"/>
        <v>29.29</v>
      </c>
      <c r="I18">
        <v>25.39</v>
      </c>
      <c r="J18">
        <f t="shared" si="1"/>
        <v>22.32</v>
      </c>
      <c r="K18">
        <f t="shared" si="2"/>
        <v>0.76203482417207247</v>
      </c>
    </row>
    <row r="19" spans="1:11" x14ac:dyDescent="0.2">
      <c r="A19" t="s">
        <v>89</v>
      </c>
      <c r="C19" t="str" cm="1">
        <f t="array" ref="C19">_xlfn.IFS(
ISNUMBER(SEARCH("IV*",A19)),"IV",
ISNUMBER(SEARCH("III*",A19)),"III",
ISNUMBER(SEARCH("II*",A19)),"II",
ISNUMBER(SEARCH("I*",A19)),"I")</f>
        <v>III</v>
      </c>
      <c r="D19" cm="1">
        <f t="array" ref="D19">_xlfn.IFS(
ISNUMBER(SEARCH("-1*",A19)),1,
ISNUMBER(SEARCH("-2*",A19)),2)</f>
        <v>2</v>
      </c>
      <c r="E19" t="str" cm="1">
        <f t="array" ref="E19">_xlfn.IFS(
ISNUMBER(SEARCH("AUHV*",A19)),"AUHV",
ISNUMBER(SEARCH("BWW*",A19)),"BWW",
ISNUMBER(SEARCH("C1*",A19)),"C1",
ISNUMBER(SEARCH("C2*",A19)),"C2",
ISNUMBER(SEARCH("ORG*",A19)),"ORG",
ISNUMBER(SEARCH("PRY*",A19)),"PRY",
ISNUMBER(SEARCH("RCL*",A19)),"RCL",
ISNUMBER(SEARCH("SWW*",A19)),"SWW",
ISNUMBER(SEARCH("MNHV*",A19)),"MNHV")</f>
        <v>SWW</v>
      </c>
      <c r="F19">
        <v>2.92</v>
      </c>
      <c r="G19">
        <v>30.24</v>
      </c>
      <c r="H19">
        <f t="shared" si="0"/>
        <v>27.32</v>
      </c>
      <c r="I19">
        <v>23.82</v>
      </c>
      <c r="J19">
        <f t="shared" si="1"/>
        <v>20.9</v>
      </c>
      <c r="K19">
        <f t="shared" si="2"/>
        <v>0.76500732064421662</v>
      </c>
    </row>
    <row r="20" spans="1:11" x14ac:dyDescent="0.2">
      <c r="A20" t="s">
        <v>45</v>
      </c>
      <c r="C20" t="str" cm="1">
        <f t="array" ref="C20">_xlfn.IFS(
ISNUMBER(SEARCH("IV*",A20)),"IV",
ISNUMBER(SEARCH("III*",A20)),"III",
ISNUMBER(SEARCH("II*",A20)),"II",
ISNUMBER(SEARCH("I*",A20)),"I")</f>
        <v>I</v>
      </c>
      <c r="D20" cm="1">
        <f t="array" ref="D20">_xlfn.IFS(
ISNUMBER(SEARCH("-1*",A20)),1,
ISNUMBER(SEARCH("-2*",A20)),2)</f>
        <v>1</v>
      </c>
      <c r="E20" t="str" cm="1">
        <f t="array" ref="E20">_xlfn.IFS(
ISNUMBER(SEARCH("AUHV*",A20)),"AUHV",
ISNUMBER(SEARCH("BWW*",A20)),"BWW",
ISNUMBER(SEARCH("C1*",A20)),"C1",
ISNUMBER(SEARCH("C2*",A20)),"C2",
ISNUMBER(SEARCH("ORG*",A20)),"ORG",
ISNUMBER(SEARCH("PRY*",A20)),"PRY",
ISNUMBER(SEARCH("RCL*",A20)),"RCL",
ISNUMBER(SEARCH("SWW*",A20)),"SWW",
ISNUMBER(SEARCH("MNHV*",A20)),"MNHV")</f>
        <v>AUHV</v>
      </c>
      <c r="F20">
        <v>3.06</v>
      </c>
      <c r="G20">
        <v>26.38</v>
      </c>
      <c r="H20">
        <f t="shared" si="0"/>
        <v>23.32</v>
      </c>
      <c r="I20">
        <v>21.13</v>
      </c>
      <c r="J20">
        <f t="shared" si="1"/>
        <v>18.07</v>
      </c>
      <c r="K20">
        <f t="shared" si="2"/>
        <v>0.77487135506003435</v>
      </c>
    </row>
    <row r="21" spans="1:11" x14ac:dyDescent="0.2">
      <c r="A21" t="s">
        <v>44</v>
      </c>
      <c r="C21" t="str" cm="1">
        <f t="array" ref="C21">_xlfn.IFS(
ISNUMBER(SEARCH("IV*",A21)),"IV",
ISNUMBER(SEARCH("III*",A21)),"III",
ISNUMBER(SEARCH("II*",A21)),"II",
ISNUMBER(SEARCH("I*",A21)),"I")</f>
        <v>I</v>
      </c>
      <c r="D21" cm="1">
        <f t="array" ref="D21">_xlfn.IFS(
ISNUMBER(SEARCH("-1*",A21)),1,
ISNUMBER(SEARCH("-2*",A21)),2)</f>
        <v>2</v>
      </c>
      <c r="E21" t="str" cm="1">
        <f t="array" ref="E21">_xlfn.IFS(
ISNUMBER(SEARCH("AUHV*",A21)),"AUHV",
ISNUMBER(SEARCH("BWW*",A21)),"BWW",
ISNUMBER(SEARCH("C1*",A21)),"C1",
ISNUMBER(SEARCH("C2*",A21)),"C2",
ISNUMBER(SEARCH("ORG*",A21)),"ORG",
ISNUMBER(SEARCH("PRY*",A21)),"PRY",
ISNUMBER(SEARCH("RCL*",A21)),"RCL",
ISNUMBER(SEARCH("SWW*",A21)),"SWW",
ISNUMBER(SEARCH("MNHV*",A21)),"MNHV")</f>
        <v>AUHV</v>
      </c>
      <c r="F21">
        <v>3.23</v>
      </c>
      <c r="G21">
        <v>24.59</v>
      </c>
      <c r="H21">
        <f t="shared" si="0"/>
        <v>21.36</v>
      </c>
      <c r="I21">
        <v>19.78</v>
      </c>
      <c r="J21">
        <f t="shared" si="1"/>
        <v>16.55</v>
      </c>
      <c r="K21">
        <f t="shared" si="2"/>
        <v>0.77481273408239704</v>
      </c>
    </row>
    <row r="22" spans="1:11" x14ac:dyDescent="0.2">
      <c r="A22" t="s">
        <v>47</v>
      </c>
      <c r="C22" t="str" cm="1">
        <f t="array" ref="C22">_xlfn.IFS(
ISNUMBER(SEARCH("IV*",A22)),"IV",
ISNUMBER(SEARCH("III*",A22)),"III",
ISNUMBER(SEARCH("II*",A22)),"II",
ISNUMBER(SEARCH("I*",A22)),"I")</f>
        <v>I</v>
      </c>
      <c r="D22" cm="1">
        <f t="array" ref="D22">_xlfn.IFS(
ISNUMBER(SEARCH("-1*",A22)),1,
ISNUMBER(SEARCH("-2*",A22)),2)</f>
        <v>1</v>
      </c>
      <c r="E22" t="str" cm="1">
        <f t="array" ref="E22">_xlfn.IFS(
ISNUMBER(SEARCH("AUHV*",A22)),"AUHV",
ISNUMBER(SEARCH("BWW*",A22)),"BWW",
ISNUMBER(SEARCH("C1*",A22)),"C1",
ISNUMBER(SEARCH("C2*",A22)),"C2",
ISNUMBER(SEARCH("ORG*",A22)),"ORG",
ISNUMBER(SEARCH("PRY*",A22)),"PRY",
ISNUMBER(SEARCH("RCL*",A22)),"RCL",
ISNUMBER(SEARCH("SWW*",A22)),"SWW",
ISNUMBER(SEARCH("MNHV*",A22)),"MNHV")</f>
        <v>BWW</v>
      </c>
      <c r="F22">
        <v>3.18</v>
      </c>
      <c r="G22">
        <v>22.07</v>
      </c>
      <c r="H22">
        <f t="shared" si="0"/>
        <v>18.89</v>
      </c>
      <c r="I22">
        <v>17.600000000000001</v>
      </c>
      <c r="J22">
        <f t="shared" si="1"/>
        <v>14.420000000000002</v>
      </c>
      <c r="K22">
        <f t="shared" si="2"/>
        <v>0.76336686077289573</v>
      </c>
    </row>
    <row r="23" spans="1:11" x14ac:dyDescent="0.2">
      <c r="A23" t="s">
        <v>46</v>
      </c>
      <c r="C23" t="str" cm="1">
        <f t="array" ref="C23">_xlfn.IFS(
ISNUMBER(SEARCH("IV*",A23)),"IV",
ISNUMBER(SEARCH("III*",A23)),"III",
ISNUMBER(SEARCH("II*",A23)),"II",
ISNUMBER(SEARCH("I*",A23)),"I")</f>
        <v>I</v>
      </c>
      <c r="D23" cm="1">
        <f t="array" ref="D23">_xlfn.IFS(
ISNUMBER(SEARCH("-1*",A23)),1,
ISNUMBER(SEARCH("-2*",A23)),2)</f>
        <v>2</v>
      </c>
      <c r="E23" t="str" cm="1">
        <f t="array" ref="E23">_xlfn.IFS(
ISNUMBER(SEARCH("AUHV*",A23)),"AUHV",
ISNUMBER(SEARCH("BWW*",A23)),"BWW",
ISNUMBER(SEARCH("C1*",A23)),"C1",
ISNUMBER(SEARCH("C2*",A23)),"C2",
ISNUMBER(SEARCH("ORG*",A23)),"ORG",
ISNUMBER(SEARCH("PRY*",A23)),"PRY",
ISNUMBER(SEARCH("RCL*",A23)),"RCL",
ISNUMBER(SEARCH("SWW*",A23)),"SWW",
ISNUMBER(SEARCH("MNHV*",A23)),"MNHV")</f>
        <v>BWW</v>
      </c>
      <c r="F23">
        <v>2.9</v>
      </c>
      <c r="G23">
        <v>24.08</v>
      </c>
      <c r="H23">
        <f t="shared" si="0"/>
        <v>21.18</v>
      </c>
      <c r="I23">
        <v>19.11</v>
      </c>
      <c r="J23">
        <f t="shared" si="1"/>
        <v>16.21</v>
      </c>
      <c r="K23">
        <f t="shared" si="2"/>
        <v>0.7653446647780926</v>
      </c>
    </row>
    <row r="24" spans="1:11" x14ac:dyDescent="0.2">
      <c r="A24" t="s">
        <v>55</v>
      </c>
      <c r="C24" t="str" cm="1">
        <f t="array" ref="C24">_xlfn.IFS(
ISNUMBER(SEARCH("IV*",A24)),"IV",
ISNUMBER(SEARCH("III*",A24)),"III",
ISNUMBER(SEARCH("II*",A24)),"II",
ISNUMBER(SEARCH("I*",A24)),"I")</f>
        <v>I</v>
      </c>
      <c r="D24" cm="1">
        <f t="array" ref="D24">_xlfn.IFS(
ISNUMBER(SEARCH("-1*",A24)),1,
ISNUMBER(SEARCH("-2*",A24)),2)</f>
        <v>1</v>
      </c>
      <c r="E24" t="str" cm="1">
        <f t="array" ref="E24">_xlfn.IFS(
ISNUMBER(SEARCH("AUHV*",A24)),"AUHV",
ISNUMBER(SEARCH("BWW*",A24)),"BWW",
ISNUMBER(SEARCH("C1*",A24)),"C1",
ISNUMBER(SEARCH("C2*",A24)),"C2",
ISNUMBER(SEARCH("ORG*",A24)),"ORG",
ISNUMBER(SEARCH("PRY*",A24)),"PRY",
ISNUMBER(SEARCH("RCL*",A24)),"RCL",
ISNUMBER(SEARCH("SWW*",A24)),"SWW",
ISNUMBER(SEARCH("MNHV*",A24)),"MNHV")</f>
        <v>C1</v>
      </c>
      <c r="F24">
        <v>3.19</v>
      </c>
      <c r="G24">
        <v>29.37</v>
      </c>
      <c r="H24">
        <f t="shared" si="0"/>
        <v>26.18</v>
      </c>
      <c r="I24">
        <v>23.58</v>
      </c>
      <c r="J24">
        <f t="shared" si="1"/>
        <v>20.389999999999997</v>
      </c>
      <c r="K24">
        <f t="shared" si="2"/>
        <v>0.77883880825057283</v>
      </c>
    </row>
    <row r="25" spans="1:11" x14ac:dyDescent="0.2">
      <c r="A25" t="s">
        <v>54</v>
      </c>
      <c r="C25" t="str" cm="1">
        <f t="array" ref="C25">_xlfn.IFS(
ISNUMBER(SEARCH("IV*",A25)),"IV",
ISNUMBER(SEARCH("III*",A25)),"III",
ISNUMBER(SEARCH("II*",A25)),"II",
ISNUMBER(SEARCH("I*",A25)),"I")</f>
        <v>I</v>
      </c>
      <c r="D25" cm="1">
        <f t="array" ref="D25">_xlfn.IFS(
ISNUMBER(SEARCH("-1*",A25)),1,
ISNUMBER(SEARCH("-2*",A25)),2)</f>
        <v>2</v>
      </c>
      <c r="E25" t="str" cm="1">
        <f t="array" ref="E25">_xlfn.IFS(
ISNUMBER(SEARCH("AUHV*",A25)),"AUHV",
ISNUMBER(SEARCH("BWW*",A25)),"BWW",
ISNUMBER(SEARCH("C1*",A25)),"C1",
ISNUMBER(SEARCH("C2*",A25)),"C2",
ISNUMBER(SEARCH("ORG*",A25)),"ORG",
ISNUMBER(SEARCH("PRY*",A25)),"PRY",
ISNUMBER(SEARCH("RCL*",A25)),"RCL",
ISNUMBER(SEARCH("SWW*",A25)),"SWW",
ISNUMBER(SEARCH("MNHV*",A25)),"MNHV")</f>
        <v>C1</v>
      </c>
      <c r="F25">
        <v>2.88</v>
      </c>
      <c r="G25">
        <v>26.6</v>
      </c>
      <c r="H25">
        <f t="shared" si="0"/>
        <v>23.720000000000002</v>
      </c>
      <c r="I25">
        <v>21.34</v>
      </c>
      <c r="J25">
        <f t="shared" si="1"/>
        <v>18.46</v>
      </c>
      <c r="K25">
        <f t="shared" si="2"/>
        <v>0.77824620573355818</v>
      </c>
    </row>
    <row r="26" spans="1:11" x14ac:dyDescent="0.2">
      <c r="A26" t="s">
        <v>57</v>
      </c>
      <c r="C26" t="str" cm="1">
        <f t="array" ref="C26">_xlfn.IFS(
ISNUMBER(SEARCH("IV*",A26)),"IV",
ISNUMBER(SEARCH("III*",A26)),"III",
ISNUMBER(SEARCH("II*",A26)),"II",
ISNUMBER(SEARCH("I*",A26)),"I")</f>
        <v>I</v>
      </c>
      <c r="D26" cm="1">
        <f t="array" ref="D26">_xlfn.IFS(
ISNUMBER(SEARCH("-1*",A26)),1,
ISNUMBER(SEARCH("-2*",A26)),2)</f>
        <v>1</v>
      </c>
      <c r="E26" t="str" cm="1">
        <f t="array" ref="E26">_xlfn.IFS(
ISNUMBER(SEARCH("AUHV*",A26)),"AUHV",
ISNUMBER(SEARCH("BWW*",A26)),"BWW",
ISNUMBER(SEARCH("C1*",A26)),"C1",
ISNUMBER(SEARCH("C2*",A26)),"C2",
ISNUMBER(SEARCH("ORG*",A26)),"ORG",
ISNUMBER(SEARCH("PRY*",A26)),"PRY",
ISNUMBER(SEARCH("RCL*",A26)),"RCL",
ISNUMBER(SEARCH("SWW*",A26)),"SWW",
ISNUMBER(SEARCH("MNHV*",A26)),"MNHV")</f>
        <v>C2</v>
      </c>
      <c r="F26">
        <v>2.97</v>
      </c>
      <c r="G26">
        <v>25.72</v>
      </c>
      <c r="H26">
        <f t="shared" si="0"/>
        <v>22.75</v>
      </c>
      <c r="I26">
        <v>20.25</v>
      </c>
      <c r="J26">
        <f t="shared" si="1"/>
        <v>17.28</v>
      </c>
      <c r="K26">
        <f t="shared" si="2"/>
        <v>0.75956043956043962</v>
      </c>
    </row>
    <row r="27" spans="1:11" x14ac:dyDescent="0.2">
      <c r="A27" t="s">
        <v>56</v>
      </c>
      <c r="C27" t="str" cm="1">
        <f t="array" ref="C27">_xlfn.IFS(
ISNUMBER(SEARCH("IV*",A27)),"IV",
ISNUMBER(SEARCH("III*",A27)),"III",
ISNUMBER(SEARCH("II*",A27)),"II",
ISNUMBER(SEARCH("I*",A27)),"I")</f>
        <v>I</v>
      </c>
      <c r="D27" cm="1">
        <f t="array" ref="D27">_xlfn.IFS(
ISNUMBER(SEARCH("-1*",A27)),1,
ISNUMBER(SEARCH("-2*",A27)),2)</f>
        <v>2</v>
      </c>
      <c r="E27" t="str" cm="1">
        <f t="array" ref="E27">_xlfn.IFS(
ISNUMBER(SEARCH("AUHV*",A27)),"AUHV",
ISNUMBER(SEARCH("BWW*",A27)),"BWW",
ISNUMBER(SEARCH("C1*",A27)),"C1",
ISNUMBER(SEARCH("C2*",A27)),"C2",
ISNUMBER(SEARCH("ORG*",A27)),"ORG",
ISNUMBER(SEARCH("PRY*",A27)),"PRY",
ISNUMBER(SEARCH("RCL*",A27)),"RCL",
ISNUMBER(SEARCH("SWW*",A27)),"SWW",
ISNUMBER(SEARCH("MNHV*",A27)),"MNHV")</f>
        <v>C2</v>
      </c>
      <c r="F27">
        <v>3.07</v>
      </c>
      <c r="G27">
        <v>35.54</v>
      </c>
      <c r="H27">
        <f t="shared" si="0"/>
        <v>32.47</v>
      </c>
      <c r="I27">
        <v>27.55</v>
      </c>
      <c r="J27">
        <f t="shared" si="1"/>
        <v>24.48</v>
      </c>
      <c r="K27">
        <f t="shared" si="2"/>
        <v>0.75392670157068065</v>
      </c>
    </row>
    <row r="28" spans="1:11" x14ac:dyDescent="0.2">
      <c r="A28" t="s">
        <v>51</v>
      </c>
      <c r="C28" t="str" cm="1">
        <f t="array" ref="C28">_xlfn.IFS(
ISNUMBER(SEARCH("IV*",A28)),"IV",
ISNUMBER(SEARCH("III*",A28)),"III",
ISNUMBER(SEARCH("II*",A28)),"II",
ISNUMBER(SEARCH("I*",A28)),"I")</f>
        <v>I</v>
      </c>
      <c r="D28" cm="1">
        <f t="array" ref="D28">_xlfn.IFS(
ISNUMBER(SEARCH("-1*",A28)),1,
ISNUMBER(SEARCH("-2*",A28)),2)</f>
        <v>1</v>
      </c>
      <c r="E28" t="str" cm="1">
        <f t="array" ref="E28">_xlfn.IFS(
ISNUMBER(SEARCH("AUHV*",A28)),"AUHV",
ISNUMBER(SEARCH("BWW*",A28)),"BWW",
ISNUMBER(SEARCH("C1*",A28)),"C1",
ISNUMBER(SEARCH("C2*",A28)),"C2",
ISNUMBER(SEARCH("ORG*",A28)),"ORG",
ISNUMBER(SEARCH("PRY*",A28)),"PRY",
ISNUMBER(SEARCH("RCL*",A28)),"RCL",
ISNUMBER(SEARCH("SWW*",A28)),"SWW",
ISNUMBER(SEARCH("MNHV*",A28)),"MNHV")</f>
        <v>MNHV</v>
      </c>
      <c r="F28">
        <v>3.17</v>
      </c>
      <c r="G28">
        <v>28.98</v>
      </c>
      <c r="H28">
        <f t="shared" si="0"/>
        <v>25.810000000000002</v>
      </c>
      <c r="I28">
        <v>22.88</v>
      </c>
      <c r="J28">
        <f t="shared" si="1"/>
        <v>19.71</v>
      </c>
      <c r="K28">
        <f t="shared" si="2"/>
        <v>0.76365749709414954</v>
      </c>
    </row>
    <row r="29" spans="1:11" x14ac:dyDescent="0.2">
      <c r="A29" t="s">
        <v>50</v>
      </c>
      <c r="C29" t="str" cm="1">
        <f t="array" ref="C29">_xlfn.IFS(
ISNUMBER(SEARCH("IV*",A29)),"IV",
ISNUMBER(SEARCH("III*",A29)),"III",
ISNUMBER(SEARCH("II*",A29)),"II",
ISNUMBER(SEARCH("I*",A29)),"I")</f>
        <v>I</v>
      </c>
      <c r="D29" cm="1">
        <f t="array" ref="D29">_xlfn.IFS(
ISNUMBER(SEARCH("-1*",A29)),1,
ISNUMBER(SEARCH("-2*",A29)),2)</f>
        <v>2</v>
      </c>
      <c r="E29" t="str" cm="1">
        <f t="array" ref="E29">_xlfn.IFS(
ISNUMBER(SEARCH("AUHV*",A29)),"AUHV",
ISNUMBER(SEARCH("BWW*",A29)),"BWW",
ISNUMBER(SEARCH("C1*",A29)),"C1",
ISNUMBER(SEARCH("C2*",A29)),"C2",
ISNUMBER(SEARCH("ORG*",A29)),"ORG",
ISNUMBER(SEARCH("PRY*",A29)),"PRY",
ISNUMBER(SEARCH("RCL*",A29)),"RCL",
ISNUMBER(SEARCH("SWW*",A29)),"SWW",
ISNUMBER(SEARCH("MNHV*",A29)),"MNHV")</f>
        <v>MNHV</v>
      </c>
      <c r="F29">
        <v>3.18</v>
      </c>
      <c r="G29">
        <v>28.97</v>
      </c>
      <c r="H29">
        <f t="shared" si="0"/>
        <v>25.79</v>
      </c>
      <c r="I29">
        <v>22.93</v>
      </c>
      <c r="J29">
        <f t="shared" si="1"/>
        <v>19.75</v>
      </c>
      <c r="K29">
        <f t="shared" si="2"/>
        <v>0.76580069794493988</v>
      </c>
    </row>
    <row r="30" spans="1:11" x14ac:dyDescent="0.2">
      <c r="A30" t="s">
        <v>49</v>
      </c>
      <c r="C30" t="str" cm="1">
        <f t="array" ref="C30">_xlfn.IFS(
ISNUMBER(SEARCH("IV*",A30)),"IV",
ISNUMBER(SEARCH("III*",A30)),"III",
ISNUMBER(SEARCH("II*",A30)),"II",
ISNUMBER(SEARCH("I*",A30)),"I")</f>
        <v>I</v>
      </c>
      <c r="D30" cm="1">
        <f t="array" ref="D30">_xlfn.IFS(
ISNUMBER(SEARCH("-1*",A30)),1,
ISNUMBER(SEARCH("-2*",A30)),2)</f>
        <v>1</v>
      </c>
      <c r="E30" t="str" cm="1">
        <f t="array" ref="E30">_xlfn.IFS(
ISNUMBER(SEARCH("AUHV*",A30)),"AUHV",
ISNUMBER(SEARCH("BWW*",A30)),"BWW",
ISNUMBER(SEARCH("C1*",A30)),"C1",
ISNUMBER(SEARCH("C2*",A30)),"C2",
ISNUMBER(SEARCH("ORG*",A30)),"ORG",
ISNUMBER(SEARCH("PRY*",A30)),"PRY",
ISNUMBER(SEARCH("RCL*",A30)),"RCL",
ISNUMBER(SEARCH("SWW*",A30)),"SWW",
ISNUMBER(SEARCH("MNHV*",A30)),"MNHV")</f>
        <v>ORG</v>
      </c>
      <c r="F30">
        <v>3.09</v>
      </c>
      <c r="G30">
        <v>26.28</v>
      </c>
      <c r="H30">
        <f t="shared" si="0"/>
        <v>23.19</v>
      </c>
      <c r="I30">
        <v>21.08</v>
      </c>
      <c r="J30">
        <f t="shared" si="1"/>
        <v>17.989999999999998</v>
      </c>
      <c r="K30">
        <f t="shared" si="2"/>
        <v>0.77576541612764116</v>
      </c>
    </row>
    <row r="31" spans="1:11" x14ac:dyDescent="0.2">
      <c r="A31" t="s">
        <v>48</v>
      </c>
      <c r="C31" t="str" cm="1">
        <f t="array" ref="C31">_xlfn.IFS(
ISNUMBER(SEARCH("IV*",A31)),"IV",
ISNUMBER(SEARCH("III*",A31)),"III",
ISNUMBER(SEARCH("II*",A31)),"II",
ISNUMBER(SEARCH("I*",A31)),"I")</f>
        <v>I</v>
      </c>
      <c r="D31" cm="1">
        <f t="array" ref="D31">_xlfn.IFS(
ISNUMBER(SEARCH("-1*",A31)),1,
ISNUMBER(SEARCH("-2*",A31)),2)</f>
        <v>2</v>
      </c>
      <c r="E31" t="str" cm="1">
        <f t="array" ref="E31">_xlfn.IFS(
ISNUMBER(SEARCH("AUHV*",A31)),"AUHV",
ISNUMBER(SEARCH("BWW*",A31)),"BWW",
ISNUMBER(SEARCH("C1*",A31)),"C1",
ISNUMBER(SEARCH("C2*",A31)),"C2",
ISNUMBER(SEARCH("ORG*",A31)),"ORG",
ISNUMBER(SEARCH("PRY*",A31)),"PRY",
ISNUMBER(SEARCH("RCL*",A31)),"RCL",
ISNUMBER(SEARCH("SWW*",A31)),"SWW",
ISNUMBER(SEARCH("MNHV*",A31)),"MNHV")</f>
        <v>ORG</v>
      </c>
      <c r="F31">
        <v>3.06</v>
      </c>
      <c r="G31">
        <v>30.47</v>
      </c>
      <c r="H31">
        <f t="shared" si="0"/>
        <v>27.41</v>
      </c>
      <c r="I31">
        <v>24.36</v>
      </c>
      <c r="J31">
        <f t="shared" si="1"/>
        <v>21.3</v>
      </c>
      <c r="K31">
        <f t="shared" si="2"/>
        <v>0.77708865377599423</v>
      </c>
    </row>
    <row r="32" spans="1:11" x14ac:dyDescent="0.2">
      <c r="A32" t="s">
        <v>59</v>
      </c>
      <c r="C32" t="str" cm="1">
        <f t="array" ref="C32">_xlfn.IFS(
ISNUMBER(SEARCH("IV*",A32)),"IV",
ISNUMBER(SEARCH("III*",A32)),"III",
ISNUMBER(SEARCH("II*",A32)),"II",
ISNUMBER(SEARCH("I*",A32)),"I")</f>
        <v>I</v>
      </c>
      <c r="D32" cm="1">
        <f t="array" ref="D32">_xlfn.IFS(
ISNUMBER(SEARCH("-1*",A32)),1,
ISNUMBER(SEARCH("-2*",A32)),2)</f>
        <v>1</v>
      </c>
      <c r="E32" t="str" cm="1">
        <f t="array" ref="E32">_xlfn.IFS(
ISNUMBER(SEARCH("AUHV*",A32)),"AUHV",
ISNUMBER(SEARCH("BWW*",A32)),"BWW",
ISNUMBER(SEARCH("C1*",A32)),"C1",
ISNUMBER(SEARCH("C2*",A32)),"C2",
ISNUMBER(SEARCH("ORG*",A32)),"ORG",
ISNUMBER(SEARCH("PRY*",A32)),"PRY",
ISNUMBER(SEARCH("RCL*",A32)),"RCL",
ISNUMBER(SEARCH("SWW*",A32)),"SWW",
ISNUMBER(SEARCH("MNHV*",A32)),"MNHV")</f>
        <v>PRY</v>
      </c>
      <c r="F32">
        <v>2.91</v>
      </c>
      <c r="G32">
        <v>25.4</v>
      </c>
      <c r="H32">
        <f t="shared" si="0"/>
        <v>22.49</v>
      </c>
      <c r="I32">
        <v>20.100000000000001</v>
      </c>
      <c r="J32">
        <f t="shared" si="1"/>
        <v>17.190000000000001</v>
      </c>
      <c r="K32">
        <f t="shared" si="2"/>
        <v>0.76433970653623839</v>
      </c>
    </row>
    <row r="33" spans="1:11" x14ac:dyDescent="0.2">
      <c r="A33" t="s">
        <v>58</v>
      </c>
      <c r="C33" t="str" cm="1">
        <f t="array" ref="C33">_xlfn.IFS(
ISNUMBER(SEARCH("IV*",A33)),"IV",
ISNUMBER(SEARCH("III*",A33)),"III",
ISNUMBER(SEARCH("II*",A33)),"II",
ISNUMBER(SEARCH("I*",A33)),"I")</f>
        <v>I</v>
      </c>
      <c r="D33" cm="1">
        <f t="array" ref="D33">_xlfn.IFS(
ISNUMBER(SEARCH("-1*",A33)),1,
ISNUMBER(SEARCH("-2*",A33)),2)</f>
        <v>2</v>
      </c>
      <c r="E33" t="str" cm="1">
        <f t="array" ref="E33">_xlfn.IFS(
ISNUMBER(SEARCH("AUHV*",A33)),"AUHV",
ISNUMBER(SEARCH("BWW*",A33)),"BWW",
ISNUMBER(SEARCH("C1*",A33)),"C1",
ISNUMBER(SEARCH("C2*",A33)),"C2",
ISNUMBER(SEARCH("ORG*",A33)),"ORG",
ISNUMBER(SEARCH("PRY*",A33)),"PRY",
ISNUMBER(SEARCH("RCL*",A33)),"RCL",
ISNUMBER(SEARCH("SWW*",A33)),"SWW",
ISNUMBER(SEARCH("MNHV*",A33)),"MNHV")</f>
        <v>PRY</v>
      </c>
      <c r="F33">
        <v>2.8</v>
      </c>
      <c r="G33">
        <v>22.16</v>
      </c>
      <c r="H33">
        <f t="shared" si="0"/>
        <v>19.36</v>
      </c>
      <c r="I33">
        <v>17.63</v>
      </c>
      <c r="J33">
        <f t="shared" si="1"/>
        <v>14.829999999999998</v>
      </c>
      <c r="K33">
        <f t="shared" si="2"/>
        <v>0.76601239669421484</v>
      </c>
    </row>
    <row r="34" spans="1:11" x14ac:dyDescent="0.2">
      <c r="A34" t="s">
        <v>53</v>
      </c>
      <c r="C34" t="str" cm="1">
        <f t="array" ref="C34">_xlfn.IFS(
ISNUMBER(SEARCH("IV*",A34)),"IV",
ISNUMBER(SEARCH("III*",A34)),"III",
ISNUMBER(SEARCH("II*",A34)),"II",
ISNUMBER(SEARCH("I*",A34)),"I")</f>
        <v>I</v>
      </c>
      <c r="D34" cm="1">
        <f t="array" ref="D34">_xlfn.IFS(
ISNUMBER(SEARCH("-1*",A34)),1,
ISNUMBER(SEARCH("-2*",A34)),2)</f>
        <v>1</v>
      </c>
      <c r="E34" t="str" cm="1">
        <f t="array" ref="E34">_xlfn.IFS(
ISNUMBER(SEARCH("AUHV*",A34)),"AUHV",
ISNUMBER(SEARCH("BWW*",A34)),"BWW",
ISNUMBER(SEARCH("C1*",A34)),"C1",
ISNUMBER(SEARCH("C2*",A34)),"C2",
ISNUMBER(SEARCH("ORG*",A34)),"ORG",
ISNUMBER(SEARCH("PRY*",A34)),"PRY",
ISNUMBER(SEARCH("RCL*",A34)),"RCL",
ISNUMBER(SEARCH("SWW*",A34)),"SWW",
ISNUMBER(SEARCH("MNHV*",A34)),"MNHV")</f>
        <v>RCL</v>
      </c>
      <c r="F34">
        <v>3.16</v>
      </c>
      <c r="G34">
        <v>27.15</v>
      </c>
      <c r="H34">
        <f t="shared" ref="H34:H65" si="3">G34-F34</f>
        <v>23.99</v>
      </c>
      <c r="I34">
        <v>21.98</v>
      </c>
      <c r="J34">
        <f t="shared" ref="J34:J65" si="4">I34-F34</f>
        <v>18.82</v>
      </c>
      <c r="K34">
        <f t="shared" ref="K34:K65" si="5">J34/H34</f>
        <v>0.78449353897457286</v>
      </c>
    </row>
    <row r="35" spans="1:11" x14ac:dyDescent="0.2">
      <c r="A35" t="s">
        <v>52</v>
      </c>
      <c r="C35" t="str" cm="1">
        <f t="array" ref="C35">_xlfn.IFS(
ISNUMBER(SEARCH("IV*",A35)),"IV",
ISNUMBER(SEARCH("III*",A35)),"III",
ISNUMBER(SEARCH("II*",A35)),"II",
ISNUMBER(SEARCH("I*",A35)),"I")</f>
        <v>I</v>
      </c>
      <c r="D35" cm="1">
        <f t="array" ref="D35">_xlfn.IFS(
ISNUMBER(SEARCH("-1*",A35)),1,
ISNUMBER(SEARCH("-2*",A35)),2)</f>
        <v>2</v>
      </c>
      <c r="E35" t="str" cm="1">
        <f t="array" ref="E35">_xlfn.IFS(
ISNUMBER(SEARCH("AUHV*",A35)),"AUHV",
ISNUMBER(SEARCH("BWW*",A35)),"BWW",
ISNUMBER(SEARCH("C1*",A35)),"C1",
ISNUMBER(SEARCH("C2*",A35)),"C2",
ISNUMBER(SEARCH("ORG*",A35)),"ORG",
ISNUMBER(SEARCH("PRY*",A35)),"PRY",
ISNUMBER(SEARCH("RCL*",A35)),"RCL",
ISNUMBER(SEARCH("SWW*",A35)),"SWW",
ISNUMBER(SEARCH("MNHV*",A35)),"MNHV")</f>
        <v>RCL</v>
      </c>
      <c r="F35">
        <v>2.88</v>
      </c>
      <c r="G35">
        <v>30.26</v>
      </c>
      <c r="H35">
        <f t="shared" si="3"/>
        <v>27.380000000000003</v>
      </c>
      <c r="I35">
        <v>24.4</v>
      </c>
      <c r="J35">
        <f t="shared" si="4"/>
        <v>21.52</v>
      </c>
      <c r="K35">
        <f t="shared" si="5"/>
        <v>0.78597516435354264</v>
      </c>
    </row>
    <row r="36" spans="1:11" x14ac:dyDescent="0.2">
      <c r="A36" t="s">
        <v>43</v>
      </c>
      <c r="C36" t="str" cm="1">
        <f t="array" ref="C36">_xlfn.IFS(
ISNUMBER(SEARCH("IV*",A36)),"IV",
ISNUMBER(SEARCH("III*",A36)),"III",
ISNUMBER(SEARCH("II*",A36)),"II",
ISNUMBER(SEARCH("I*",A36)),"I")</f>
        <v>I</v>
      </c>
      <c r="D36" cm="1">
        <f t="array" ref="D36">_xlfn.IFS(
ISNUMBER(SEARCH("-1*",A36)),1,
ISNUMBER(SEARCH("-2*",A36)),2)</f>
        <v>1</v>
      </c>
      <c r="E36" t="str" cm="1">
        <f t="array" ref="E36">_xlfn.IFS(
ISNUMBER(SEARCH("AUHV*",A36)),"AUHV",
ISNUMBER(SEARCH("BWW*",A36)),"BWW",
ISNUMBER(SEARCH("C1*",A36)),"C1",
ISNUMBER(SEARCH("C2*",A36)),"C2",
ISNUMBER(SEARCH("ORG*",A36)),"ORG",
ISNUMBER(SEARCH("PRY*",A36)),"PRY",
ISNUMBER(SEARCH("RCL*",A36)),"RCL",
ISNUMBER(SEARCH("SWW*",A36)),"SWW",
ISNUMBER(SEARCH("MNHV*",A36)),"MNHV")</f>
        <v>SWW</v>
      </c>
      <c r="F36">
        <v>3.1</v>
      </c>
      <c r="G36">
        <v>25.65</v>
      </c>
      <c r="H36">
        <f t="shared" si="3"/>
        <v>22.549999999999997</v>
      </c>
      <c r="I36">
        <v>20.49</v>
      </c>
      <c r="J36">
        <f t="shared" si="4"/>
        <v>17.389999999999997</v>
      </c>
      <c r="K36">
        <f t="shared" si="5"/>
        <v>0.77117516629711746</v>
      </c>
    </row>
    <row r="37" spans="1:11" x14ac:dyDescent="0.2">
      <c r="A37" t="s">
        <v>42</v>
      </c>
      <c r="C37" t="str" cm="1">
        <f t="array" ref="C37">_xlfn.IFS(
ISNUMBER(SEARCH("IV*",A37)),"IV",
ISNUMBER(SEARCH("III*",A37)),"III",
ISNUMBER(SEARCH("II*",A37)),"II",
ISNUMBER(SEARCH("I*",A37)),"I")</f>
        <v>I</v>
      </c>
      <c r="D37" cm="1">
        <f t="array" ref="D37">_xlfn.IFS(
ISNUMBER(SEARCH("-1*",A37)),1,
ISNUMBER(SEARCH("-2*",A37)),2)</f>
        <v>2</v>
      </c>
      <c r="E37" t="str" cm="1">
        <f t="array" ref="E37">_xlfn.IFS(
ISNUMBER(SEARCH("AUHV*",A37)),"AUHV",
ISNUMBER(SEARCH("BWW*",A37)),"BWW",
ISNUMBER(SEARCH("C1*",A37)),"C1",
ISNUMBER(SEARCH("C2*",A37)),"C2",
ISNUMBER(SEARCH("ORG*",A37)),"ORG",
ISNUMBER(SEARCH("PRY*",A37)),"PRY",
ISNUMBER(SEARCH("RCL*",A37)),"RCL",
ISNUMBER(SEARCH("SWW*",A37)),"SWW",
ISNUMBER(SEARCH("MNHV*",A37)),"MNHV")</f>
        <v>SWW</v>
      </c>
      <c r="F37">
        <v>2.97</v>
      </c>
      <c r="G37">
        <v>37.020000000000003</v>
      </c>
      <c r="H37">
        <f t="shared" si="3"/>
        <v>34.050000000000004</v>
      </c>
      <c r="I37">
        <v>29.21</v>
      </c>
      <c r="J37">
        <f t="shared" si="4"/>
        <v>26.240000000000002</v>
      </c>
      <c r="K37">
        <f t="shared" si="5"/>
        <v>0.7706314243759177</v>
      </c>
    </row>
    <row r="38" spans="1:11" x14ac:dyDescent="0.2">
      <c r="A38" t="s">
        <v>25</v>
      </c>
      <c r="C38" t="str" cm="1">
        <f t="array" ref="C38">_xlfn.IFS(
ISNUMBER(SEARCH("IV*",A38)),"IV",
ISNUMBER(SEARCH("III*",A38)),"III",
ISNUMBER(SEARCH("II*",A38)),"II",
ISNUMBER(SEARCH("I*",A38)),"I")</f>
        <v>II</v>
      </c>
      <c r="D38" cm="1">
        <f t="array" ref="D38">_xlfn.IFS(
ISNUMBER(SEARCH("-1*",A38)),1,
ISNUMBER(SEARCH("-2*",A38)),2)</f>
        <v>1</v>
      </c>
      <c r="E38" t="str" cm="1">
        <f t="array" ref="E38">_xlfn.IFS(
ISNUMBER(SEARCH("AUHV*",A38)),"AUHV",
ISNUMBER(SEARCH("BWW*",A38)),"BWW",
ISNUMBER(SEARCH("C1*",A38)),"C1",
ISNUMBER(SEARCH("C2*",A38)),"C2",
ISNUMBER(SEARCH("ORG*",A38)),"ORG",
ISNUMBER(SEARCH("PRY*",A38)),"PRY",
ISNUMBER(SEARCH("RCL*",A38)),"RCL",
ISNUMBER(SEARCH("SWW*",A38)),"SWW",
ISNUMBER(SEARCH("MNHV*",A38)),"MNHV")</f>
        <v>AUHV</v>
      </c>
      <c r="F38">
        <v>2.91</v>
      </c>
      <c r="G38">
        <v>25.46</v>
      </c>
      <c r="H38">
        <f t="shared" si="3"/>
        <v>22.55</v>
      </c>
      <c r="I38">
        <v>19.989999999999998</v>
      </c>
      <c r="J38">
        <f t="shared" si="4"/>
        <v>17.079999999999998</v>
      </c>
      <c r="K38">
        <f t="shared" si="5"/>
        <v>0.7574279379157427</v>
      </c>
    </row>
    <row r="39" spans="1:11" x14ac:dyDescent="0.2">
      <c r="A39" t="s">
        <v>24</v>
      </c>
      <c r="C39" t="str" cm="1">
        <f t="array" ref="C39">_xlfn.IFS(
ISNUMBER(SEARCH("IV*",A39)),"IV",
ISNUMBER(SEARCH("III*",A39)),"III",
ISNUMBER(SEARCH("II*",A39)),"II",
ISNUMBER(SEARCH("I*",A39)),"I")</f>
        <v>II</v>
      </c>
      <c r="D39" cm="1">
        <f t="array" ref="D39">_xlfn.IFS(
ISNUMBER(SEARCH("-1*",A39)),1,
ISNUMBER(SEARCH("-2*",A39)),2)</f>
        <v>2</v>
      </c>
      <c r="E39" t="str" cm="1">
        <f t="array" ref="E39">_xlfn.IFS(
ISNUMBER(SEARCH("AUHV*",A39)),"AUHV",
ISNUMBER(SEARCH("BWW*",A39)),"BWW",
ISNUMBER(SEARCH("C1*",A39)),"C1",
ISNUMBER(SEARCH("C2*",A39)),"C2",
ISNUMBER(SEARCH("ORG*",A39)),"ORG",
ISNUMBER(SEARCH("PRY*",A39)),"PRY",
ISNUMBER(SEARCH("RCL*",A39)),"RCL",
ISNUMBER(SEARCH("SWW*",A39)),"SWW",
ISNUMBER(SEARCH("MNHV*",A39)),"MNHV")</f>
        <v>AUHV</v>
      </c>
      <c r="F39">
        <v>3.15</v>
      </c>
      <c r="G39">
        <v>25.75</v>
      </c>
      <c r="H39">
        <f t="shared" si="3"/>
        <v>22.6</v>
      </c>
      <c r="I39">
        <v>20.22</v>
      </c>
      <c r="J39">
        <f t="shared" si="4"/>
        <v>17.07</v>
      </c>
      <c r="K39">
        <f t="shared" si="5"/>
        <v>0.75530973451327432</v>
      </c>
    </row>
    <row r="40" spans="1:11" x14ac:dyDescent="0.2">
      <c r="A40" t="s">
        <v>41</v>
      </c>
      <c r="C40" t="str" cm="1">
        <f t="array" ref="C40">_xlfn.IFS(
ISNUMBER(SEARCH("IV*",A40)),"IV",
ISNUMBER(SEARCH("III*",A40)),"III",
ISNUMBER(SEARCH("II*",A40)),"II",
ISNUMBER(SEARCH("I*",A40)),"I")</f>
        <v>II</v>
      </c>
      <c r="D40" cm="1">
        <f t="array" ref="D40">_xlfn.IFS(
ISNUMBER(SEARCH("-1*",A40)),1,
ISNUMBER(SEARCH("-2*",A40)),2)</f>
        <v>1</v>
      </c>
      <c r="E40" t="str" cm="1">
        <f t="array" ref="E40">_xlfn.IFS(
ISNUMBER(SEARCH("AUHV*",A40)),"AUHV",
ISNUMBER(SEARCH("BWW*",A40)),"BWW",
ISNUMBER(SEARCH("C1*",A40)),"C1",
ISNUMBER(SEARCH("C2*",A40)),"C2",
ISNUMBER(SEARCH("ORG*",A40)),"ORG",
ISNUMBER(SEARCH("PRY*",A40)),"PRY",
ISNUMBER(SEARCH("RCL*",A40)),"RCL",
ISNUMBER(SEARCH("SWW*",A40)),"SWW",
ISNUMBER(SEARCH("MNHV*",A40)),"MNHV")</f>
        <v>BWW</v>
      </c>
      <c r="F40">
        <v>3.01</v>
      </c>
      <c r="G40">
        <v>24.25</v>
      </c>
      <c r="H40">
        <f t="shared" si="3"/>
        <v>21.240000000000002</v>
      </c>
      <c r="I40">
        <v>19.329999999999998</v>
      </c>
      <c r="J40">
        <f t="shared" si="4"/>
        <v>16.32</v>
      </c>
      <c r="K40">
        <f t="shared" si="5"/>
        <v>0.76836158192090387</v>
      </c>
    </row>
    <row r="41" spans="1:11" x14ac:dyDescent="0.2">
      <c r="A41" t="s">
        <v>40</v>
      </c>
      <c r="C41" t="str" cm="1">
        <f t="array" ref="C41">_xlfn.IFS(
ISNUMBER(SEARCH("IV*",A41)),"IV",
ISNUMBER(SEARCH("III*",A41)),"III",
ISNUMBER(SEARCH("II*",A41)),"II",
ISNUMBER(SEARCH("I*",A41)),"I")</f>
        <v>II</v>
      </c>
      <c r="D41" cm="1">
        <f t="array" ref="D41">_xlfn.IFS(
ISNUMBER(SEARCH("-1*",A41)),1,
ISNUMBER(SEARCH("-2*",A41)),2)</f>
        <v>2</v>
      </c>
      <c r="E41" t="str" cm="1">
        <f t="array" ref="E41">_xlfn.IFS(
ISNUMBER(SEARCH("AUHV*",A41)),"AUHV",
ISNUMBER(SEARCH("BWW*",A41)),"BWW",
ISNUMBER(SEARCH("C1*",A41)),"C1",
ISNUMBER(SEARCH("C2*",A41)),"C2",
ISNUMBER(SEARCH("ORG*",A41)),"ORG",
ISNUMBER(SEARCH("PRY*",A41)),"PRY",
ISNUMBER(SEARCH("RCL*",A41)),"RCL",
ISNUMBER(SEARCH("SWW*",A41)),"SWW",
ISNUMBER(SEARCH("MNHV*",A41)),"MNHV")</f>
        <v>BWW</v>
      </c>
      <c r="F41">
        <v>2.94</v>
      </c>
      <c r="G41">
        <v>24.69</v>
      </c>
      <c r="H41">
        <f t="shared" si="3"/>
        <v>21.75</v>
      </c>
      <c r="I41">
        <v>19.72</v>
      </c>
      <c r="J41">
        <f t="shared" si="4"/>
        <v>16.779999999999998</v>
      </c>
      <c r="K41">
        <f t="shared" si="5"/>
        <v>0.7714942528735631</v>
      </c>
    </row>
    <row r="42" spans="1:11" x14ac:dyDescent="0.2">
      <c r="A42" t="s">
        <v>35</v>
      </c>
      <c r="C42" t="str" cm="1">
        <f t="array" ref="C42">_xlfn.IFS(
ISNUMBER(SEARCH("IV*",A42)),"IV",
ISNUMBER(SEARCH("III*",A42)),"III",
ISNUMBER(SEARCH("II*",A42)),"II",
ISNUMBER(SEARCH("I*",A42)),"I")</f>
        <v>II</v>
      </c>
      <c r="D42" cm="1">
        <f t="array" ref="D42">_xlfn.IFS(
ISNUMBER(SEARCH("-1*",A42)),1,
ISNUMBER(SEARCH("-2*",A42)),2)</f>
        <v>1</v>
      </c>
      <c r="E42" t="str" cm="1">
        <f t="array" ref="E42">_xlfn.IFS(
ISNUMBER(SEARCH("AUHV*",A42)),"AUHV",
ISNUMBER(SEARCH("BWW*",A42)),"BWW",
ISNUMBER(SEARCH("C1*",A42)),"C1",
ISNUMBER(SEARCH("C2*",A42)),"C2",
ISNUMBER(SEARCH("ORG*",A42)),"ORG",
ISNUMBER(SEARCH("PRY*",A42)),"PRY",
ISNUMBER(SEARCH("RCL*",A42)),"RCL",
ISNUMBER(SEARCH("SWW*",A42)),"SWW",
ISNUMBER(SEARCH("MNHV*",A42)),"MNHV")</f>
        <v>C1</v>
      </c>
      <c r="F42">
        <v>2.88</v>
      </c>
      <c r="G42">
        <v>27.03</v>
      </c>
      <c r="H42">
        <f t="shared" si="3"/>
        <v>24.150000000000002</v>
      </c>
      <c r="I42">
        <v>21.69</v>
      </c>
      <c r="J42">
        <f t="shared" si="4"/>
        <v>18.810000000000002</v>
      </c>
      <c r="K42">
        <f t="shared" si="5"/>
        <v>0.77888198757763982</v>
      </c>
    </row>
    <row r="43" spans="1:11" x14ac:dyDescent="0.2">
      <c r="A43" t="s">
        <v>34</v>
      </c>
      <c r="C43" t="str" cm="1">
        <f t="array" ref="C43">_xlfn.IFS(
ISNUMBER(SEARCH("IV*",A43)),"IV",
ISNUMBER(SEARCH("III*",A43)),"III",
ISNUMBER(SEARCH("II*",A43)),"II",
ISNUMBER(SEARCH("I*",A43)),"I")</f>
        <v>II</v>
      </c>
      <c r="D43" cm="1">
        <f t="array" ref="D43">_xlfn.IFS(
ISNUMBER(SEARCH("-1*",A43)),1,
ISNUMBER(SEARCH("-2*",A43)),2)</f>
        <v>2</v>
      </c>
      <c r="E43" t="str" cm="1">
        <f t="array" ref="E43">_xlfn.IFS(
ISNUMBER(SEARCH("AUHV*",A43)),"AUHV",
ISNUMBER(SEARCH("BWW*",A43)),"BWW",
ISNUMBER(SEARCH("C1*",A43)),"C1",
ISNUMBER(SEARCH("C2*",A43)),"C2",
ISNUMBER(SEARCH("ORG*",A43)),"ORG",
ISNUMBER(SEARCH("PRY*",A43)),"PRY",
ISNUMBER(SEARCH("RCL*",A43)),"RCL",
ISNUMBER(SEARCH("SWW*",A43)),"SWW",
ISNUMBER(SEARCH("MNHV*",A43)),"MNHV")</f>
        <v>C1</v>
      </c>
      <c r="F43">
        <v>3.08</v>
      </c>
      <c r="G43">
        <v>23.71</v>
      </c>
      <c r="H43">
        <f t="shared" si="3"/>
        <v>20.630000000000003</v>
      </c>
      <c r="I43">
        <v>19.079999999999998</v>
      </c>
      <c r="J43">
        <f t="shared" si="4"/>
        <v>15.999999999999998</v>
      </c>
      <c r="K43">
        <f t="shared" si="5"/>
        <v>0.77556955889481316</v>
      </c>
    </row>
    <row r="44" spans="1:11" x14ac:dyDescent="0.2">
      <c r="A44" t="s">
        <v>33</v>
      </c>
      <c r="C44" t="str" cm="1">
        <f t="array" ref="C44">_xlfn.IFS(
ISNUMBER(SEARCH("IV*",A44)),"IV",
ISNUMBER(SEARCH("III*",A44)),"III",
ISNUMBER(SEARCH("II*",A44)),"II",
ISNUMBER(SEARCH("I*",A44)),"I")</f>
        <v>II</v>
      </c>
      <c r="D44" cm="1">
        <f t="array" ref="D44">_xlfn.IFS(
ISNUMBER(SEARCH("-1*",A44)),1,
ISNUMBER(SEARCH("-2*",A44)),2)</f>
        <v>1</v>
      </c>
      <c r="E44" t="str" cm="1">
        <f t="array" ref="E44">_xlfn.IFS(
ISNUMBER(SEARCH("AUHV*",A44)),"AUHV",
ISNUMBER(SEARCH("BWW*",A44)),"BWW",
ISNUMBER(SEARCH("C1*",A44)),"C1",
ISNUMBER(SEARCH("C2*",A44)),"C2",
ISNUMBER(SEARCH("ORG*",A44)),"ORG",
ISNUMBER(SEARCH("PRY*",A44)),"PRY",
ISNUMBER(SEARCH("RCL*",A44)),"RCL",
ISNUMBER(SEARCH("SWW*",A44)),"SWW",
ISNUMBER(SEARCH("MNHV*",A44)),"MNHV")</f>
        <v>C2</v>
      </c>
      <c r="F44">
        <v>3.07</v>
      </c>
      <c r="G44">
        <v>26.12</v>
      </c>
      <c r="H44">
        <f t="shared" si="3"/>
        <v>23.05</v>
      </c>
      <c r="I44">
        <v>21.26</v>
      </c>
      <c r="J44">
        <f t="shared" si="4"/>
        <v>18.190000000000001</v>
      </c>
      <c r="K44">
        <f t="shared" si="5"/>
        <v>0.7891540130151844</v>
      </c>
    </row>
    <row r="45" spans="1:11" x14ac:dyDescent="0.2">
      <c r="A45" t="s">
        <v>32</v>
      </c>
      <c r="C45" t="str" cm="1">
        <f t="array" ref="C45">_xlfn.IFS(
ISNUMBER(SEARCH("IV*",A45)),"IV",
ISNUMBER(SEARCH("III*",A45)),"III",
ISNUMBER(SEARCH("II*",A45)),"II",
ISNUMBER(SEARCH("I*",A45)),"I")</f>
        <v>II</v>
      </c>
      <c r="D45" cm="1">
        <f t="array" ref="D45">_xlfn.IFS(
ISNUMBER(SEARCH("-1*",A45)),1,
ISNUMBER(SEARCH("-2*",A45)),2)</f>
        <v>2</v>
      </c>
      <c r="E45" t="str" cm="1">
        <f t="array" ref="E45">_xlfn.IFS(
ISNUMBER(SEARCH("AUHV*",A45)),"AUHV",
ISNUMBER(SEARCH("BWW*",A45)),"BWW",
ISNUMBER(SEARCH("C1*",A45)),"C1",
ISNUMBER(SEARCH("C2*",A45)),"C2",
ISNUMBER(SEARCH("ORG*",A45)),"ORG",
ISNUMBER(SEARCH("PRY*",A45)),"PRY",
ISNUMBER(SEARCH("RCL*",A45)),"RCL",
ISNUMBER(SEARCH("SWW*",A45)),"SWW",
ISNUMBER(SEARCH("MNHV*",A45)),"MNHV")</f>
        <v>C2</v>
      </c>
      <c r="F45">
        <v>2.96</v>
      </c>
      <c r="G45">
        <v>21.83</v>
      </c>
      <c r="H45">
        <f t="shared" si="3"/>
        <v>18.869999999999997</v>
      </c>
      <c r="I45">
        <v>17.79</v>
      </c>
      <c r="J45">
        <f t="shared" si="4"/>
        <v>14.829999999999998</v>
      </c>
      <c r="K45">
        <f t="shared" si="5"/>
        <v>0.78590355060943295</v>
      </c>
    </row>
    <row r="46" spans="1:11" x14ac:dyDescent="0.2">
      <c r="A46" t="s">
        <v>39</v>
      </c>
      <c r="C46" t="str" cm="1">
        <f t="array" ref="C46">_xlfn.IFS(
ISNUMBER(SEARCH("IV*",A46)),"IV",
ISNUMBER(SEARCH("III*",A46)),"III",
ISNUMBER(SEARCH("II*",A46)),"II",
ISNUMBER(SEARCH("I*",A46)),"I")</f>
        <v>II</v>
      </c>
      <c r="D46" cm="1">
        <f t="array" ref="D46">_xlfn.IFS(
ISNUMBER(SEARCH("-1*",A46)),1,
ISNUMBER(SEARCH("-2*",A46)),2)</f>
        <v>1</v>
      </c>
      <c r="E46" t="str" cm="1">
        <f t="array" ref="E46">_xlfn.IFS(
ISNUMBER(SEARCH("AUHV*",A46)),"AUHV",
ISNUMBER(SEARCH("BWW*",A46)),"BWW",
ISNUMBER(SEARCH("C1*",A46)),"C1",
ISNUMBER(SEARCH("C2*",A46)),"C2",
ISNUMBER(SEARCH("ORG*",A46)),"ORG",
ISNUMBER(SEARCH("PRY*",A46)),"PRY",
ISNUMBER(SEARCH("RCL*",A46)),"RCL",
ISNUMBER(SEARCH("SWW*",A46)),"SWW",
ISNUMBER(SEARCH("MNHV*",A46)),"MNHV")</f>
        <v>MNHV</v>
      </c>
      <c r="F46">
        <v>2.84</v>
      </c>
      <c r="G46">
        <v>30.45</v>
      </c>
      <c r="H46">
        <f t="shared" si="3"/>
        <v>27.61</v>
      </c>
      <c r="I46">
        <v>23.77</v>
      </c>
      <c r="J46">
        <f t="shared" si="4"/>
        <v>20.93</v>
      </c>
      <c r="K46">
        <f t="shared" si="5"/>
        <v>0.75805867439333574</v>
      </c>
    </row>
    <row r="47" spans="1:11" x14ac:dyDescent="0.2">
      <c r="A47" t="s">
        <v>38</v>
      </c>
      <c r="C47" t="str" cm="1">
        <f t="array" ref="C47">_xlfn.IFS(
ISNUMBER(SEARCH("IV*",A47)),"IV",
ISNUMBER(SEARCH("III*",A47)),"III",
ISNUMBER(SEARCH("II*",A47)),"II",
ISNUMBER(SEARCH("I*",A47)),"I")</f>
        <v>II</v>
      </c>
      <c r="D47" cm="1">
        <f t="array" ref="D47">_xlfn.IFS(
ISNUMBER(SEARCH("-1*",A47)),1,
ISNUMBER(SEARCH("-2*",A47)),2)</f>
        <v>2</v>
      </c>
      <c r="E47" t="str" cm="1">
        <f t="array" ref="E47">_xlfn.IFS(
ISNUMBER(SEARCH("AUHV*",A47)),"AUHV",
ISNUMBER(SEARCH("BWW*",A47)),"BWW",
ISNUMBER(SEARCH("C1*",A47)),"C1",
ISNUMBER(SEARCH("C2*",A47)),"C2",
ISNUMBER(SEARCH("ORG*",A47)),"ORG",
ISNUMBER(SEARCH("PRY*",A47)),"PRY",
ISNUMBER(SEARCH("RCL*",A47)),"RCL",
ISNUMBER(SEARCH("SWW*",A47)),"SWW",
ISNUMBER(SEARCH("MNHV*",A47)),"MNHV")</f>
        <v>MNHV</v>
      </c>
      <c r="F47">
        <v>3.11</v>
      </c>
      <c r="G47">
        <v>28.36</v>
      </c>
      <c r="H47">
        <f t="shared" si="3"/>
        <v>25.25</v>
      </c>
      <c r="I47">
        <v>22.24</v>
      </c>
      <c r="J47">
        <f t="shared" si="4"/>
        <v>19.13</v>
      </c>
      <c r="K47">
        <f t="shared" si="5"/>
        <v>0.75762376237623763</v>
      </c>
    </row>
    <row r="48" spans="1:11" x14ac:dyDescent="0.2">
      <c r="A48" t="s">
        <v>29</v>
      </c>
      <c r="C48" t="str" cm="1">
        <f t="array" ref="C48">_xlfn.IFS(
ISNUMBER(SEARCH("IV*",A48)),"IV",
ISNUMBER(SEARCH("III*",A48)),"III",
ISNUMBER(SEARCH("II*",A48)),"II",
ISNUMBER(SEARCH("I*",A48)),"I")</f>
        <v>II</v>
      </c>
      <c r="D48" cm="1">
        <f t="array" ref="D48">_xlfn.IFS(
ISNUMBER(SEARCH("-1*",A48)),1,
ISNUMBER(SEARCH("-2*",A48)),2)</f>
        <v>1</v>
      </c>
      <c r="E48" t="str" cm="1">
        <f t="array" ref="E48">_xlfn.IFS(
ISNUMBER(SEARCH("AUHV*",A48)),"AUHV",
ISNUMBER(SEARCH("BWW*",A48)),"BWW",
ISNUMBER(SEARCH("C1*",A48)),"C1",
ISNUMBER(SEARCH("C2*",A48)),"C2",
ISNUMBER(SEARCH("ORG*",A48)),"ORG",
ISNUMBER(SEARCH("PRY*",A48)),"PRY",
ISNUMBER(SEARCH("RCL*",A48)),"RCL",
ISNUMBER(SEARCH("SWW*",A48)),"SWW",
ISNUMBER(SEARCH("MNHV*",A48)),"MNHV")</f>
        <v>ORG</v>
      </c>
      <c r="F48">
        <v>3.23</v>
      </c>
      <c r="G48">
        <v>26.4</v>
      </c>
      <c r="H48">
        <f t="shared" si="3"/>
        <v>23.169999999999998</v>
      </c>
      <c r="I48">
        <v>21.43</v>
      </c>
      <c r="J48">
        <f t="shared" si="4"/>
        <v>18.2</v>
      </c>
      <c r="K48">
        <f t="shared" si="5"/>
        <v>0.78549848942598188</v>
      </c>
    </row>
    <row r="49" spans="1:11" x14ac:dyDescent="0.2">
      <c r="A49" t="s">
        <v>28</v>
      </c>
      <c r="C49" t="str" cm="1">
        <f t="array" ref="C49">_xlfn.IFS(
ISNUMBER(SEARCH("IV*",A49)),"IV",
ISNUMBER(SEARCH("III*",A49)),"III",
ISNUMBER(SEARCH("II*",A49)),"II",
ISNUMBER(SEARCH("I*",A49)),"I")</f>
        <v>II</v>
      </c>
      <c r="D49" cm="1">
        <f t="array" ref="D49">_xlfn.IFS(
ISNUMBER(SEARCH("-1*",A49)),1,
ISNUMBER(SEARCH("-2*",A49)),2)</f>
        <v>2</v>
      </c>
      <c r="E49" t="str" cm="1">
        <f t="array" ref="E49">_xlfn.IFS(
ISNUMBER(SEARCH("AUHV*",A49)),"AUHV",
ISNUMBER(SEARCH("BWW*",A49)),"BWW",
ISNUMBER(SEARCH("C1*",A49)),"C1",
ISNUMBER(SEARCH("C2*",A49)),"C2",
ISNUMBER(SEARCH("ORG*",A49)),"ORG",
ISNUMBER(SEARCH("PRY*",A49)),"PRY",
ISNUMBER(SEARCH("RCL*",A49)),"RCL",
ISNUMBER(SEARCH("SWW*",A49)),"SWW",
ISNUMBER(SEARCH("MNHV*",A49)),"MNHV")</f>
        <v>ORG</v>
      </c>
      <c r="F49">
        <v>3.05</v>
      </c>
      <c r="G49">
        <v>23.42</v>
      </c>
      <c r="H49">
        <f t="shared" si="3"/>
        <v>20.37</v>
      </c>
      <c r="I49">
        <v>19.059999999999999</v>
      </c>
      <c r="J49">
        <f t="shared" si="4"/>
        <v>16.009999999999998</v>
      </c>
      <c r="K49">
        <f t="shared" si="5"/>
        <v>0.78595974472263119</v>
      </c>
    </row>
    <row r="50" spans="1:11" x14ac:dyDescent="0.2">
      <c r="A50" t="s">
        <v>37</v>
      </c>
      <c r="C50" t="str" cm="1">
        <f t="array" ref="C50">_xlfn.IFS(
ISNUMBER(SEARCH("IV*",A50)),"IV",
ISNUMBER(SEARCH("III*",A50)),"III",
ISNUMBER(SEARCH("II*",A50)),"II",
ISNUMBER(SEARCH("I*",A50)),"I")</f>
        <v>II</v>
      </c>
      <c r="D50" cm="1">
        <f t="array" ref="D50">_xlfn.IFS(
ISNUMBER(SEARCH("-1*",A50)),1,
ISNUMBER(SEARCH("-2*",A50)),2)</f>
        <v>1</v>
      </c>
      <c r="E50" t="str" cm="1">
        <f t="array" ref="E50">_xlfn.IFS(
ISNUMBER(SEARCH("AUHV*",A50)),"AUHV",
ISNUMBER(SEARCH("BWW*",A50)),"BWW",
ISNUMBER(SEARCH("C1*",A50)),"C1",
ISNUMBER(SEARCH("C2*",A50)),"C2",
ISNUMBER(SEARCH("ORG*",A50)),"ORG",
ISNUMBER(SEARCH("PRY*",A50)),"PRY",
ISNUMBER(SEARCH("RCL*",A50)),"RCL",
ISNUMBER(SEARCH("SWW*",A50)),"SWW",
ISNUMBER(SEARCH("MNHV*",A50)),"MNHV")</f>
        <v>PRY</v>
      </c>
      <c r="F50">
        <v>2.85</v>
      </c>
      <c r="G50">
        <v>26.52</v>
      </c>
      <c r="H50">
        <f t="shared" si="3"/>
        <v>23.669999999999998</v>
      </c>
      <c r="I50">
        <v>20.75</v>
      </c>
      <c r="J50">
        <f t="shared" si="4"/>
        <v>17.899999999999999</v>
      </c>
      <c r="K50">
        <f t="shared" si="5"/>
        <v>0.75623151668779043</v>
      </c>
    </row>
    <row r="51" spans="1:11" x14ac:dyDescent="0.2">
      <c r="A51" t="s">
        <v>36</v>
      </c>
      <c r="C51" t="str" cm="1">
        <f t="array" ref="C51">_xlfn.IFS(
ISNUMBER(SEARCH("IV*",A51)),"IV",
ISNUMBER(SEARCH("III*",A51)),"III",
ISNUMBER(SEARCH("II*",A51)),"II",
ISNUMBER(SEARCH("I*",A51)),"I")</f>
        <v>II</v>
      </c>
      <c r="D51" cm="1">
        <f t="array" ref="D51">_xlfn.IFS(
ISNUMBER(SEARCH("-1*",A51)),1,
ISNUMBER(SEARCH("-2*",A51)),2)</f>
        <v>2</v>
      </c>
      <c r="E51" t="str" cm="1">
        <f t="array" ref="E51">_xlfn.IFS(
ISNUMBER(SEARCH("AUHV*",A51)),"AUHV",
ISNUMBER(SEARCH("BWW*",A51)),"BWW",
ISNUMBER(SEARCH("C1*",A51)),"C1",
ISNUMBER(SEARCH("C2*",A51)),"C2",
ISNUMBER(SEARCH("ORG*",A51)),"ORG",
ISNUMBER(SEARCH("PRY*",A51)),"PRY",
ISNUMBER(SEARCH("RCL*",A51)),"RCL",
ISNUMBER(SEARCH("SWW*",A51)),"SWW",
ISNUMBER(SEARCH("MNHV*",A51)),"MNHV")</f>
        <v>PRY</v>
      </c>
      <c r="F51">
        <v>2.85</v>
      </c>
      <c r="G51">
        <v>24.57</v>
      </c>
      <c r="H51">
        <f t="shared" si="3"/>
        <v>21.72</v>
      </c>
      <c r="I51">
        <v>19.32</v>
      </c>
      <c r="J51">
        <f t="shared" si="4"/>
        <v>16.47</v>
      </c>
      <c r="K51">
        <f t="shared" si="5"/>
        <v>0.75828729281767959</v>
      </c>
    </row>
    <row r="52" spans="1:11" x14ac:dyDescent="0.2">
      <c r="A52" t="s">
        <v>27</v>
      </c>
      <c r="C52" t="str" cm="1">
        <f t="array" ref="C52">_xlfn.IFS(
ISNUMBER(SEARCH("IV*",A52)),"IV",
ISNUMBER(SEARCH("III*",A52)),"III",
ISNUMBER(SEARCH("II*",A52)),"II",
ISNUMBER(SEARCH("I*",A52)),"I")</f>
        <v>II</v>
      </c>
      <c r="D52" cm="1">
        <f t="array" ref="D52">_xlfn.IFS(
ISNUMBER(SEARCH("-1*",A52)),1,
ISNUMBER(SEARCH("-2*",A52)),2)</f>
        <v>1</v>
      </c>
      <c r="E52" t="str" cm="1">
        <f t="array" ref="E52">_xlfn.IFS(
ISNUMBER(SEARCH("AUHV*",A52)),"AUHV",
ISNUMBER(SEARCH("BWW*",A52)),"BWW",
ISNUMBER(SEARCH("C1*",A52)),"C1",
ISNUMBER(SEARCH("C2*",A52)),"C2",
ISNUMBER(SEARCH("ORG*",A52)),"ORG",
ISNUMBER(SEARCH("PRY*",A52)),"PRY",
ISNUMBER(SEARCH("RCL*",A52)),"RCL",
ISNUMBER(SEARCH("SWW*",A52)),"SWW",
ISNUMBER(SEARCH("MNHV*",A52)),"MNHV")</f>
        <v>RCL</v>
      </c>
      <c r="F52">
        <v>3.08</v>
      </c>
      <c r="G52">
        <v>26.15</v>
      </c>
      <c r="H52">
        <f t="shared" si="3"/>
        <v>23.07</v>
      </c>
      <c r="I52">
        <v>20.73</v>
      </c>
      <c r="J52">
        <f t="shared" si="4"/>
        <v>17.649999999999999</v>
      </c>
      <c r="K52">
        <f t="shared" si="5"/>
        <v>0.76506285218898995</v>
      </c>
    </row>
    <row r="53" spans="1:11" x14ac:dyDescent="0.2">
      <c r="A53" t="s">
        <v>26</v>
      </c>
      <c r="C53" t="str" cm="1">
        <f t="array" ref="C53">_xlfn.IFS(
ISNUMBER(SEARCH("IV*",A53)),"IV",
ISNUMBER(SEARCH("III*",A53)),"III",
ISNUMBER(SEARCH("II*",A53)),"II",
ISNUMBER(SEARCH("I*",A53)),"I")</f>
        <v>II</v>
      </c>
      <c r="D53" cm="1">
        <f t="array" ref="D53">_xlfn.IFS(
ISNUMBER(SEARCH("-1*",A53)),1,
ISNUMBER(SEARCH("-2*",A53)),2)</f>
        <v>2</v>
      </c>
      <c r="E53" t="str" cm="1">
        <f t="array" ref="E53">_xlfn.IFS(
ISNUMBER(SEARCH("AUHV*",A53)),"AUHV",
ISNUMBER(SEARCH("BWW*",A53)),"BWW",
ISNUMBER(SEARCH("C1*",A53)),"C1",
ISNUMBER(SEARCH("C2*",A53)),"C2",
ISNUMBER(SEARCH("ORG*",A53)),"ORG",
ISNUMBER(SEARCH("PRY*",A53)),"PRY",
ISNUMBER(SEARCH("RCL*",A53)),"RCL",
ISNUMBER(SEARCH("SWW*",A53)),"SWW",
ISNUMBER(SEARCH("MNHV*",A53)),"MNHV")</f>
        <v>RCL</v>
      </c>
      <c r="F53">
        <v>3.04</v>
      </c>
      <c r="G53">
        <v>25.07</v>
      </c>
      <c r="H53">
        <f t="shared" si="3"/>
        <v>22.03</v>
      </c>
      <c r="I53">
        <v>19.89</v>
      </c>
      <c r="J53">
        <f t="shared" si="4"/>
        <v>16.850000000000001</v>
      </c>
      <c r="K53">
        <f t="shared" si="5"/>
        <v>0.76486609169314579</v>
      </c>
    </row>
    <row r="54" spans="1:11" x14ac:dyDescent="0.2">
      <c r="A54" t="s">
        <v>31</v>
      </c>
      <c r="C54" t="str" cm="1">
        <f t="array" ref="C54">_xlfn.IFS(
ISNUMBER(SEARCH("IV*",A54)),"IV",
ISNUMBER(SEARCH("III*",A54)),"III",
ISNUMBER(SEARCH("II*",A54)),"II",
ISNUMBER(SEARCH("I*",A54)),"I")</f>
        <v>II</v>
      </c>
      <c r="D54" cm="1">
        <f t="array" ref="D54">_xlfn.IFS(
ISNUMBER(SEARCH("-1*",A54)),1,
ISNUMBER(SEARCH("-2*",A54)),2)</f>
        <v>1</v>
      </c>
      <c r="E54" t="str" cm="1">
        <f t="array" ref="E54">_xlfn.IFS(
ISNUMBER(SEARCH("AUHV*",A54)),"AUHV",
ISNUMBER(SEARCH("BWW*",A54)),"BWW",
ISNUMBER(SEARCH("C1*",A54)),"C1",
ISNUMBER(SEARCH("C2*",A54)),"C2",
ISNUMBER(SEARCH("ORG*",A54)),"ORG",
ISNUMBER(SEARCH("PRY*",A54)),"PRY",
ISNUMBER(SEARCH("RCL*",A54)),"RCL",
ISNUMBER(SEARCH("SWW*",A54)),"SWW",
ISNUMBER(SEARCH("MNHV*",A54)),"MNHV")</f>
        <v>SWW</v>
      </c>
      <c r="F54">
        <v>2.98</v>
      </c>
      <c r="G54">
        <v>31.34</v>
      </c>
      <c r="H54">
        <f t="shared" si="3"/>
        <v>28.36</v>
      </c>
      <c r="I54">
        <v>25.1</v>
      </c>
      <c r="J54">
        <f t="shared" si="4"/>
        <v>22.12</v>
      </c>
      <c r="K54">
        <f t="shared" si="5"/>
        <v>0.77997179125528915</v>
      </c>
    </row>
    <row r="55" spans="1:11" x14ac:dyDescent="0.2">
      <c r="A55" t="s">
        <v>30</v>
      </c>
      <c r="C55" t="str" cm="1">
        <f t="array" ref="C55">_xlfn.IFS(
ISNUMBER(SEARCH("IV*",A55)),"IV",
ISNUMBER(SEARCH("III*",A55)),"III",
ISNUMBER(SEARCH("II*",A55)),"II",
ISNUMBER(SEARCH("I*",A55)),"I")</f>
        <v>II</v>
      </c>
      <c r="D55" cm="1">
        <f t="array" ref="D55">_xlfn.IFS(
ISNUMBER(SEARCH("-1*",A55)),1,
ISNUMBER(SEARCH("-2*",A55)),2)</f>
        <v>2</v>
      </c>
      <c r="E55" t="str" cm="1">
        <f t="array" ref="E55">_xlfn.IFS(
ISNUMBER(SEARCH("AUHV*",A55)),"AUHV",
ISNUMBER(SEARCH("BWW*",A55)),"BWW",
ISNUMBER(SEARCH("C1*",A55)),"C1",
ISNUMBER(SEARCH("C2*",A55)),"C2",
ISNUMBER(SEARCH("ORG*",A55)),"ORG",
ISNUMBER(SEARCH("PRY*",A55)),"PRY",
ISNUMBER(SEARCH("RCL*",A55)),"RCL",
ISNUMBER(SEARCH("SWW*",A55)),"SWW",
ISNUMBER(SEARCH("MNHV*",A55)),"MNHV")</f>
        <v>SWW</v>
      </c>
      <c r="F55">
        <v>3</v>
      </c>
      <c r="G55">
        <v>30.71</v>
      </c>
      <c r="H55">
        <f t="shared" si="3"/>
        <v>27.71</v>
      </c>
      <c r="I55">
        <v>24.49</v>
      </c>
      <c r="J55">
        <f t="shared" si="4"/>
        <v>21.49</v>
      </c>
      <c r="K55">
        <f t="shared" si="5"/>
        <v>0.77553229880909413</v>
      </c>
    </row>
    <row r="56" spans="1:11" x14ac:dyDescent="0.2">
      <c r="A56" t="s">
        <v>7</v>
      </c>
      <c r="C56" t="str" cm="1">
        <f t="array" ref="C56">_xlfn.IFS(
ISNUMBER(SEARCH("IV*",A56)),"IV",
ISNUMBER(SEARCH("III*",A56)),"III",
ISNUMBER(SEARCH("II*",A56)),"II",
ISNUMBER(SEARCH("I*",A56)),"I")</f>
        <v>IV</v>
      </c>
      <c r="D56" cm="1">
        <f t="array" ref="D56">_xlfn.IFS(
ISNUMBER(SEARCH("-1*",A56)),1,
ISNUMBER(SEARCH("-2*",A56)),2)</f>
        <v>1</v>
      </c>
      <c r="E56" t="str" cm="1">
        <f t="array" ref="E56">_xlfn.IFS(
ISNUMBER(SEARCH("AUHV*",A56)),"AUHV",
ISNUMBER(SEARCH("BWW*",A56)),"BWW",
ISNUMBER(SEARCH("C1*",A56)),"C1",
ISNUMBER(SEARCH("C2*",A56)),"C2",
ISNUMBER(SEARCH("ORG*",A56)),"ORG",
ISNUMBER(SEARCH("PRY*",A56)),"PRY",
ISNUMBER(SEARCH("RCL*",A56)),"RCL",
ISNUMBER(SEARCH("SWW*",A56)),"SWW",
ISNUMBER(SEARCH("MNHV*",A56)),"MNHV")</f>
        <v>AUHV</v>
      </c>
      <c r="F56">
        <v>4.95</v>
      </c>
      <c r="G56">
        <v>24.65</v>
      </c>
      <c r="H56">
        <f t="shared" si="3"/>
        <v>19.7</v>
      </c>
      <c r="I56">
        <v>19.64</v>
      </c>
      <c r="J56">
        <f t="shared" si="4"/>
        <v>14.690000000000001</v>
      </c>
      <c r="K56">
        <f t="shared" si="5"/>
        <v>0.74568527918781735</v>
      </c>
    </row>
    <row r="57" spans="1:11" x14ac:dyDescent="0.2">
      <c r="A57" t="s">
        <v>6</v>
      </c>
      <c r="C57" t="str" cm="1">
        <f t="array" ref="C57">_xlfn.IFS(
ISNUMBER(SEARCH("IV*",A57)),"IV",
ISNUMBER(SEARCH("III*",A57)),"III",
ISNUMBER(SEARCH("II*",A57)),"II",
ISNUMBER(SEARCH("I*",A57)),"I")</f>
        <v>IV</v>
      </c>
      <c r="D57" cm="1">
        <f t="array" ref="D57">_xlfn.IFS(
ISNUMBER(SEARCH("-1*",A57)),1,
ISNUMBER(SEARCH("-2*",A57)),2)</f>
        <v>2</v>
      </c>
      <c r="E57" t="str" cm="1">
        <f t="array" ref="E57">_xlfn.IFS(
ISNUMBER(SEARCH("AUHV*",A57)),"AUHV",
ISNUMBER(SEARCH("BWW*",A57)),"BWW",
ISNUMBER(SEARCH("C1*",A57)),"C1",
ISNUMBER(SEARCH("C2*",A57)),"C2",
ISNUMBER(SEARCH("ORG*",A57)),"ORG",
ISNUMBER(SEARCH("PRY*",A57)),"PRY",
ISNUMBER(SEARCH("RCL*",A57)),"RCL",
ISNUMBER(SEARCH("SWW*",A57)),"SWW",
ISNUMBER(SEARCH("MNHV*",A57)),"MNHV")</f>
        <v>AUHV</v>
      </c>
      <c r="F57">
        <v>4.84</v>
      </c>
      <c r="G57">
        <v>28.84</v>
      </c>
      <c r="H57">
        <f t="shared" si="3"/>
        <v>24</v>
      </c>
      <c r="I57">
        <v>22.91</v>
      </c>
      <c r="J57">
        <f t="shared" si="4"/>
        <v>18.07</v>
      </c>
      <c r="K57">
        <f t="shared" si="5"/>
        <v>0.75291666666666668</v>
      </c>
    </row>
    <row r="58" spans="1:11" x14ac:dyDescent="0.2">
      <c r="A58" t="s">
        <v>15</v>
      </c>
      <c r="C58" t="str" cm="1">
        <f t="array" ref="C58">_xlfn.IFS(
ISNUMBER(SEARCH("IV*",A58)),"IV",
ISNUMBER(SEARCH("III*",A58)),"III",
ISNUMBER(SEARCH("II*",A58)),"II",
ISNUMBER(SEARCH("I*",A58)),"I")</f>
        <v>IV</v>
      </c>
      <c r="D58" cm="1">
        <f t="array" ref="D58">_xlfn.IFS(
ISNUMBER(SEARCH("-1*",A58)),1,
ISNUMBER(SEARCH("-2*",A58)),2)</f>
        <v>1</v>
      </c>
      <c r="E58" t="str" cm="1">
        <f t="array" ref="E58">_xlfn.IFS(
ISNUMBER(SEARCH("AUHV*",A58)),"AUHV",
ISNUMBER(SEARCH("BWW*",A58)),"BWW",
ISNUMBER(SEARCH("C1*",A58)),"C1",
ISNUMBER(SEARCH("C2*",A58)),"C2",
ISNUMBER(SEARCH("ORG*",A58)),"ORG",
ISNUMBER(SEARCH("PRY*",A58)),"PRY",
ISNUMBER(SEARCH("RCL*",A58)),"RCL",
ISNUMBER(SEARCH("SWW*",A58)),"SWW",
ISNUMBER(SEARCH("MNHV*",A58)),"MNHV")</f>
        <v>BWW</v>
      </c>
      <c r="F58">
        <v>4.78</v>
      </c>
      <c r="G58">
        <v>31.78</v>
      </c>
      <c r="H58">
        <f t="shared" si="3"/>
        <v>27</v>
      </c>
      <c r="I58">
        <v>24.93</v>
      </c>
      <c r="J58">
        <f t="shared" si="4"/>
        <v>20.149999999999999</v>
      </c>
      <c r="K58">
        <f t="shared" si="5"/>
        <v>0.74629629629629624</v>
      </c>
    </row>
    <row r="59" spans="1:11" x14ac:dyDescent="0.2">
      <c r="A59" t="s">
        <v>14</v>
      </c>
      <c r="C59" t="str" cm="1">
        <f t="array" ref="C59">_xlfn.IFS(
ISNUMBER(SEARCH("IV*",A59)),"IV",
ISNUMBER(SEARCH("III*",A59)),"III",
ISNUMBER(SEARCH("II*",A59)),"II",
ISNUMBER(SEARCH("I*",A59)),"I")</f>
        <v>IV</v>
      </c>
      <c r="D59" cm="1">
        <f t="array" ref="D59">_xlfn.IFS(
ISNUMBER(SEARCH("-1*",A59)),1,
ISNUMBER(SEARCH("-2*",A59)),2)</f>
        <v>2</v>
      </c>
      <c r="E59" t="str" cm="1">
        <f t="array" ref="E59">_xlfn.IFS(
ISNUMBER(SEARCH("AUHV*",A59)),"AUHV",
ISNUMBER(SEARCH("BWW*",A59)),"BWW",
ISNUMBER(SEARCH("C1*",A59)),"C1",
ISNUMBER(SEARCH("C2*",A59)),"C2",
ISNUMBER(SEARCH("ORG*",A59)),"ORG",
ISNUMBER(SEARCH("PRY*",A59)),"PRY",
ISNUMBER(SEARCH("RCL*",A59)),"RCL",
ISNUMBER(SEARCH("SWW*",A59)),"SWW",
ISNUMBER(SEARCH("MNHV*",A59)),"MNHV")</f>
        <v>BWW</v>
      </c>
      <c r="F59">
        <v>4.74</v>
      </c>
      <c r="G59">
        <v>34.32</v>
      </c>
      <c r="H59">
        <f t="shared" si="3"/>
        <v>29.58</v>
      </c>
      <c r="I59">
        <v>26.92</v>
      </c>
      <c r="J59">
        <f t="shared" si="4"/>
        <v>22.18</v>
      </c>
      <c r="K59">
        <f t="shared" si="5"/>
        <v>0.74983096686950645</v>
      </c>
    </row>
    <row r="60" spans="1:11" x14ac:dyDescent="0.2">
      <c r="A60" t="s">
        <v>23</v>
      </c>
      <c r="C60" t="str" cm="1">
        <f t="array" ref="C60">_xlfn.IFS(
ISNUMBER(SEARCH("IV*",A60)),"IV",
ISNUMBER(SEARCH("III*",A60)),"III",
ISNUMBER(SEARCH("II*",A60)),"II",
ISNUMBER(SEARCH("I*",A60)),"I")</f>
        <v>IV</v>
      </c>
      <c r="D60" cm="1">
        <f t="array" ref="D60">_xlfn.IFS(
ISNUMBER(SEARCH("-1*",A60)),1,
ISNUMBER(SEARCH("-2*",A60)),2)</f>
        <v>1</v>
      </c>
      <c r="E60" t="str" cm="1">
        <f t="array" ref="E60">_xlfn.IFS(
ISNUMBER(SEARCH("AUHV*",A60)),"AUHV",
ISNUMBER(SEARCH("BWW*",A60)),"BWW",
ISNUMBER(SEARCH("C1*",A60)),"C1",
ISNUMBER(SEARCH("C2*",A60)),"C2",
ISNUMBER(SEARCH("ORG*",A60)),"ORG",
ISNUMBER(SEARCH("PRY*",A60)),"PRY",
ISNUMBER(SEARCH("RCL*",A60)),"RCL",
ISNUMBER(SEARCH("SWW*",A60)),"SWW",
ISNUMBER(SEARCH("MNHV*",A60)),"MNHV")</f>
        <v>C1</v>
      </c>
      <c r="F60">
        <v>6.52</v>
      </c>
      <c r="G60">
        <v>40.19</v>
      </c>
      <c r="H60">
        <f t="shared" si="3"/>
        <v>33.67</v>
      </c>
      <c r="I60">
        <v>31.08</v>
      </c>
      <c r="J60">
        <f t="shared" si="4"/>
        <v>24.56</v>
      </c>
      <c r="K60">
        <f t="shared" si="5"/>
        <v>0.72943272943272941</v>
      </c>
    </row>
    <row r="61" spans="1:11" x14ac:dyDescent="0.2">
      <c r="A61" t="s">
        <v>22</v>
      </c>
      <c r="C61" t="str" cm="1">
        <f t="array" ref="C61">_xlfn.IFS(
ISNUMBER(SEARCH("IV*",A61)),"IV",
ISNUMBER(SEARCH("III*",A61)),"III",
ISNUMBER(SEARCH("II*",A61)),"II",
ISNUMBER(SEARCH("I*",A61)),"I")</f>
        <v>IV</v>
      </c>
      <c r="D61" cm="1">
        <f t="array" ref="D61">_xlfn.IFS(
ISNUMBER(SEARCH("-1*",A61)),1,
ISNUMBER(SEARCH("-2*",A61)),2)</f>
        <v>2</v>
      </c>
      <c r="E61" t="str" cm="1">
        <f t="array" ref="E61">_xlfn.IFS(
ISNUMBER(SEARCH("AUHV*",A61)),"AUHV",
ISNUMBER(SEARCH("BWW*",A61)),"BWW",
ISNUMBER(SEARCH("C1*",A61)),"C1",
ISNUMBER(SEARCH("C2*",A61)),"C2",
ISNUMBER(SEARCH("ORG*",A61)),"ORG",
ISNUMBER(SEARCH("PRY*",A61)),"PRY",
ISNUMBER(SEARCH("RCL*",A61)),"RCL",
ISNUMBER(SEARCH("SWW*",A61)),"SWW",
ISNUMBER(SEARCH("MNHV*",A61)),"MNHV")</f>
        <v>C1</v>
      </c>
      <c r="F61">
        <v>6.35</v>
      </c>
      <c r="G61">
        <v>30.67</v>
      </c>
      <c r="H61">
        <f t="shared" si="3"/>
        <v>24.32</v>
      </c>
      <c r="I61">
        <v>24.08</v>
      </c>
      <c r="J61">
        <f t="shared" si="4"/>
        <v>17.729999999999997</v>
      </c>
      <c r="K61">
        <f t="shared" si="5"/>
        <v>0.72902960526315774</v>
      </c>
    </row>
    <row r="62" spans="1:11" x14ac:dyDescent="0.2">
      <c r="A62" t="s">
        <v>16</v>
      </c>
      <c r="C62" t="str" cm="1">
        <f t="array" ref="C62">_xlfn.IFS(
ISNUMBER(SEARCH("IV*",A62)),"IV",
ISNUMBER(SEARCH("III*",A62)),"III",
ISNUMBER(SEARCH("II*",A62)),"II",
ISNUMBER(SEARCH("I*",A62)),"I")</f>
        <v>IV</v>
      </c>
      <c r="D62" cm="1">
        <f t="array" ref="D62">_xlfn.IFS(
ISNUMBER(SEARCH("-1*",A62)),1,
ISNUMBER(SEARCH("-2*",A62)),2)</f>
        <v>1</v>
      </c>
      <c r="E62" t="str" cm="1">
        <f t="array" ref="E62">_xlfn.IFS(
ISNUMBER(SEARCH("AUHV*",A62)),"AUHV",
ISNUMBER(SEARCH("BWW*",A62)),"BWW",
ISNUMBER(SEARCH("C1*",A62)),"C1",
ISNUMBER(SEARCH("C2*",A62)),"C2",
ISNUMBER(SEARCH("ORG*",A62)),"ORG",
ISNUMBER(SEARCH("PRY*",A62)),"PRY",
ISNUMBER(SEARCH("RCL*",A62)),"RCL",
ISNUMBER(SEARCH("SWW*",A62)),"SWW",
ISNUMBER(SEARCH("MNHV*",A62)),"MNHV")</f>
        <v>C2</v>
      </c>
      <c r="F62">
        <v>4.8099999999999996</v>
      </c>
      <c r="G62">
        <v>30.3</v>
      </c>
      <c r="H62">
        <f t="shared" si="3"/>
        <v>25.490000000000002</v>
      </c>
      <c r="I62">
        <v>23.88</v>
      </c>
      <c r="J62">
        <f t="shared" si="4"/>
        <v>19.07</v>
      </c>
      <c r="K62">
        <f t="shared" si="5"/>
        <v>0.74813652412710863</v>
      </c>
    </row>
    <row r="63" spans="1:11" x14ac:dyDescent="0.2">
      <c r="A63" t="s">
        <v>17</v>
      </c>
      <c r="C63" t="str" cm="1">
        <f t="array" ref="C63">_xlfn.IFS(
ISNUMBER(SEARCH("IV*",A63)),"IV",
ISNUMBER(SEARCH("III*",A63)),"III",
ISNUMBER(SEARCH("II*",A63)),"II",
ISNUMBER(SEARCH("I*",A63)),"I")</f>
        <v>IV</v>
      </c>
      <c r="D63" cm="1">
        <f t="array" ref="D63">_xlfn.IFS(
ISNUMBER(SEARCH("-1*",A63)),1,
ISNUMBER(SEARCH("-2*",A63)),2)</f>
        <v>2</v>
      </c>
      <c r="E63" t="str" cm="1">
        <f t="array" ref="E63">_xlfn.IFS(
ISNUMBER(SEARCH("AUHV*",A63)),"AUHV",
ISNUMBER(SEARCH("BWW*",A63)),"BWW",
ISNUMBER(SEARCH("C1*",A63)),"C1",
ISNUMBER(SEARCH("C2*",A63)),"C2",
ISNUMBER(SEARCH("ORG*",A63)),"ORG",
ISNUMBER(SEARCH("PRY*",A63)),"PRY",
ISNUMBER(SEARCH("RCL*",A63)),"RCL",
ISNUMBER(SEARCH("SWW*",A63)),"SWW",
ISNUMBER(SEARCH("MNHV*",A63)),"MNHV")</f>
        <v>C2</v>
      </c>
      <c r="F63">
        <v>5.03</v>
      </c>
      <c r="G63">
        <v>29.45</v>
      </c>
      <c r="H63">
        <f t="shared" si="3"/>
        <v>24.419999999999998</v>
      </c>
      <c r="I63">
        <v>23.24</v>
      </c>
      <c r="J63">
        <f t="shared" si="4"/>
        <v>18.209999999999997</v>
      </c>
      <c r="K63">
        <f t="shared" si="5"/>
        <v>0.74570024570024562</v>
      </c>
    </row>
    <row r="64" spans="1:11" x14ac:dyDescent="0.2">
      <c r="A64" t="s">
        <v>11</v>
      </c>
      <c r="C64" t="str" cm="1">
        <f t="array" ref="C64">_xlfn.IFS(
ISNUMBER(SEARCH("IV*",A64)),"IV",
ISNUMBER(SEARCH("III*",A64)),"III",
ISNUMBER(SEARCH("II*",A64)),"II",
ISNUMBER(SEARCH("I*",A64)),"I")</f>
        <v>IV</v>
      </c>
      <c r="D64" cm="1">
        <f t="array" ref="D64">_xlfn.IFS(
ISNUMBER(SEARCH("-1*",A64)),1,
ISNUMBER(SEARCH("-2*",A64)),2)</f>
        <v>1</v>
      </c>
      <c r="E64" t="str" cm="1">
        <f t="array" ref="E64">_xlfn.IFS(
ISNUMBER(SEARCH("AUHV*",A64)),"AUHV",
ISNUMBER(SEARCH("BWW*",A64)),"BWW",
ISNUMBER(SEARCH("C1*",A64)),"C1",
ISNUMBER(SEARCH("C2*",A64)),"C2",
ISNUMBER(SEARCH("ORG*",A64)),"ORG",
ISNUMBER(SEARCH("PRY*",A64)),"PRY",
ISNUMBER(SEARCH("RCL*",A64)),"RCL",
ISNUMBER(SEARCH("SWW*",A64)),"SWW",
ISNUMBER(SEARCH("MNHV*",A64)),"MNHV")</f>
        <v>MNHV</v>
      </c>
      <c r="F64">
        <v>4.88</v>
      </c>
      <c r="G64">
        <v>30.75</v>
      </c>
      <c r="H64">
        <f t="shared" si="3"/>
        <v>25.87</v>
      </c>
      <c r="I64">
        <v>24.36</v>
      </c>
      <c r="J64">
        <f t="shared" si="4"/>
        <v>19.48</v>
      </c>
      <c r="K64">
        <f t="shared" si="5"/>
        <v>0.7529957479706223</v>
      </c>
    </row>
    <row r="65" spans="1:11" x14ac:dyDescent="0.2">
      <c r="A65" t="s">
        <v>10</v>
      </c>
      <c r="C65" t="str" cm="1">
        <f t="array" ref="C65">_xlfn.IFS(
ISNUMBER(SEARCH("IV*",A65)),"IV",
ISNUMBER(SEARCH("III*",A65)),"III",
ISNUMBER(SEARCH("II*",A65)),"II",
ISNUMBER(SEARCH("I*",A65)),"I")</f>
        <v>IV</v>
      </c>
      <c r="D65" cm="1">
        <f t="array" ref="D65">_xlfn.IFS(
ISNUMBER(SEARCH("-1*",A65)),1,
ISNUMBER(SEARCH("-2*",A65)),2)</f>
        <v>2</v>
      </c>
      <c r="E65" t="str" cm="1">
        <f t="array" ref="E65">_xlfn.IFS(
ISNUMBER(SEARCH("AUHV*",A65)),"AUHV",
ISNUMBER(SEARCH("BWW*",A65)),"BWW",
ISNUMBER(SEARCH("C1*",A65)),"C1",
ISNUMBER(SEARCH("C2*",A65)),"C2",
ISNUMBER(SEARCH("ORG*",A65)),"ORG",
ISNUMBER(SEARCH("PRY*",A65)),"PRY",
ISNUMBER(SEARCH("RCL*",A65)),"RCL",
ISNUMBER(SEARCH("SWW*",A65)),"SWW",
ISNUMBER(SEARCH("MNHV*",A65)),"MNHV")</f>
        <v>MNHV</v>
      </c>
      <c r="F65">
        <v>4.54</v>
      </c>
      <c r="G65">
        <v>28.62</v>
      </c>
      <c r="H65">
        <f t="shared" si="3"/>
        <v>24.080000000000002</v>
      </c>
      <c r="I65">
        <v>22.73</v>
      </c>
      <c r="J65">
        <f t="shared" si="4"/>
        <v>18.190000000000001</v>
      </c>
      <c r="K65">
        <f t="shared" si="5"/>
        <v>0.75539867109634551</v>
      </c>
    </row>
    <row r="66" spans="1:11" x14ac:dyDescent="0.2">
      <c r="A66" t="s">
        <v>13</v>
      </c>
      <c r="C66" t="str" cm="1">
        <f t="array" ref="C66">_xlfn.IFS(
ISNUMBER(SEARCH("IV*",A66)),"IV",
ISNUMBER(SEARCH("III*",A66)),"III",
ISNUMBER(SEARCH("II*",A66)),"II",
ISNUMBER(SEARCH("I*",A66)),"I")</f>
        <v>IV</v>
      </c>
      <c r="D66" cm="1">
        <f t="array" ref="D66">_xlfn.IFS(
ISNUMBER(SEARCH("-1*",A66)),1,
ISNUMBER(SEARCH("-2*",A66)),2)</f>
        <v>1</v>
      </c>
      <c r="E66" t="str" cm="1">
        <f t="array" ref="E66">_xlfn.IFS(
ISNUMBER(SEARCH("AUHV*",A66)),"AUHV",
ISNUMBER(SEARCH("BWW*",A66)),"BWW",
ISNUMBER(SEARCH("C1*",A66)),"C1",
ISNUMBER(SEARCH("C2*",A66)),"C2",
ISNUMBER(SEARCH("ORG*",A66)),"ORG",
ISNUMBER(SEARCH("PRY*",A66)),"PRY",
ISNUMBER(SEARCH("RCL*",A66)),"RCL",
ISNUMBER(SEARCH("SWW*",A66)),"SWW",
ISNUMBER(SEARCH("MNHV*",A66)),"MNHV")</f>
        <v>ORG</v>
      </c>
      <c r="F66">
        <v>4.95</v>
      </c>
      <c r="G66">
        <v>34.74</v>
      </c>
      <c r="H66">
        <f t="shared" ref="H66:H73" si="6">G66-F66</f>
        <v>29.790000000000003</v>
      </c>
      <c r="I66">
        <v>27.72</v>
      </c>
      <c r="J66">
        <f t="shared" ref="J66:J73" si="7">I66-F66</f>
        <v>22.77</v>
      </c>
      <c r="K66">
        <f t="shared" ref="K66:K73" si="8">J66/H66</f>
        <v>0.7643504531722054</v>
      </c>
    </row>
    <row r="67" spans="1:11" x14ac:dyDescent="0.2">
      <c r="A67" t="s">
        <v>12</v>
      </c>
      <c r="C67" t="str" cm="1">
        <f t="array" ref="C67">_xlfn.IFS(
ISNUMBER(SEARCH("IV*",A67)),"IV",
ISNUMBER(SEARCH("III*",A67)),"III",
ISNUMBER(SEARCH("II*",A67)),"II",
ISNUMBER(SEARCH("I*",A67)),"I")</f>
        <v>IV</v>
      </c>
      <c r="D67" cm="1">
        <f t="array" ref="D67">_xlfn.IFS(
ISNUMBER(SEARCH("-1*",A67)),1,
ISNUMBER(SEARCH("-2*",A67)),2)</f>
        <v>2</v>
      </c>
      <c r="E67" t="str" cm="1">
        <f t="array" ref="E67">_xlfn.IFS(
ISNUMBER(SEARCH("AUHV*",A67)),"AUHV",
ISNUMBER(SEARCH("BWW*",A67)),"BWW",
ISNUMBER(SEARCH("C1*",A67)),"C1",
ISNUMBER(SEARCH("C2*",A67)),"C2",
ISNUMBER(SEARCH("ORG*",A67)),"ORG",
ISNUMBER(SEARCH("PRY*",A67)),"PRY",
ISNUMBER(SEARCH("RCL*",A67)),"RCL",
ISNUMBER(SEARCH("SWW*",A67)),"SWW",
ISNUMBER(SEARCH("MNHV*",A67)),"MNHV")</f>
        <v>ORG</v>
      </c>
      <c r="F67">
        <v>4.68</v>
      </c>
      <c r="G67">
        <v>31.09</v>
      </c>
      <c r="H67">
        <f t="shared" si="6"/>
        <v>26.41</v>
      </c>
      <c r="I67">
        <v>24.98</v>
      </c>
      <c r="J67">
        <f t="shared" si="7"/>
        <v>20.3</v>
      </c>
      <c r="K67">
        <f t="shared" si="8"/>
        <v>0.76864823930329418</v>
      </c>
    </row>
    <row r="68" spans="1:11" x14ac:dyDescent="0.2">
      <c r="A68" t="s">
        <v>9</v>
      </c>
      <c r="C68" t="str" cm="1">
        <f t="array" ref="C68">_xlfn.IFS(
ISNUMBER(SEARCH("IV*",A68)),"IV",
ISNUMBER(SEARCH("III*",A68)),"III",
ISNUMBER(SEARCH("II*",A68)),"II",
ISNUMBER(SEARCH("I*",A68)),"I")</f>
        <v>IV</v>
      </c>
      <c r="D68" cm="1">
        <f t="array" ref="D68">_xlfn.IFS(
ISNUMBER(SEARCH("-1*",A68)),1,
ISNUMBER(SEARCH("-2*",A68)),2)</f>
        <v>1</v>
      </c>
      <c r="E68" t="str" cm="1">
        <f t="array" ref="E68">_xlfn.IFS(
ISNUMBER(SEARCH("AUHV*",A68)),"AUHV",
ISNUMBER(SEARCH("BWW*",A68)),"BWW",
ISNUMBER(SEARCH("C1*",A68)),"C1",
ISNUMBER(SEARCH("C2*",A68)),"C2",
ISNUMBER(SEARCH("ORG*",A68)),"ORG",
ISNUMBER(SEARCH("PRY*",A68)),"PRY",
ISNUMBER(SEARCH("RCL*",A68)),"RCL",
ISNUMBER(SEARCH("SWW*",A68)),"SWW",
ISNUMBER(SEARCH("MNHV*",A68)),"MNHV")</f>
        <v>PRY</v>
      </c>
      <c r="F68">
        <v>4.7699999999999996</v>
      </c>
      <c r="G68">
        <v>22.31</v>
      </c>
      <c r="H68">
        <f t="shared" si="6"/>
        <v>17.54</v>
      </c>
      <c r="I68">
        <v>18.309999999999999</v>
      </c>
      <c r="J68">
        <f t="shared" si="7"/>
        <v>13.54</v>
      </c>
      <c r="K68">
        <f t="shared" si="8"/>
        <v>0.77194982896237174</v>
      </c>
    </row>
    <row r="69" spans="1:11" x14ac:dyDescent="0.2">
      <c r="A69" t="s">
        <v>8</v>
      </c>
      <c r="C69" t="str" cm="1">
        <f t="array" ref="C69">_xlfn.IFS(
ISNUMBER(SEARCH("IV*",A69)),"IV",
ISNUMBER(SEARCH("III*",A69)),"III",
ISNUMBER(SEARCH("II*",A69)),"II",
ISNUMBER(SEARCH("I*",A69)),"I")</f>
        <v>IV</v>
      </c>
      <c r="D69" cm="1">
        <f t="array" ref="D69">_xlfn.IFS(
ISNUMBER(SEARCH("-1*",A69)),1,
ISNUMBER(SEARCH("-2*",A69)),2)</f>
        <v>2</v>
      </c>
      <c r="E69" t="str" cm="1">
        <f t="array" ref="E69">_xlfn.IFS(
ISNUMBER(SEARCH("AUHV*",A69)),"AUHV",
ISNUMBER(SEARCH("BWW*",A69)),"BWW",
ISNUMBER(SEARCH("C1*",A69)),"C1",
ISNUMBER(SEARCH("C2*",A69)),"C2",
ISNUMBER(SEARCH("ORG*",A69)),"ORG",
ISNUMBER(SEARCH("PRY*",A69)),"PRY",
ISNUMBER(SEARCH("RCL*",A69)),"RCL",
ISNUMBER(SEARCH("SWW*",A69)),"SWW",
ISNUMBER(SEARCH("MNHV*",A69)),"MNHV")</f>
        <v>PRY</v>
      </c>
      <c r="F69">
        <v>4.76</v>
      </c>
      <c r="G69">
        <v>26.14</v>
      </c>
      <c r="H69">
        <f t="shared" si="6"/>
        <v>21.380000000000003</v>
      </c>
      <c r="I69">
        <v>21.32</v>
      </c>
      <c r="J69">
        <f t="shared" si="7"/>
        <v>16.560000000000002</v>
      </c>
      <c r="K69">
        <f t="shared" si="8"/>
        <v>0.77455565949485505</v>
      </c>
    </row>
    <row r="70" spans="1:11" x14ac:dyDescent="0.2">
      <c r="A70" t="s">
        <v>21</v>
      </c>
      <c r="C70" t="str" cm="1">
        <f t="array" ref="C70">_xlfn.IFS(
ISNUMBER(SEARCH("IV*",A70)),"IV",
ISNUMBER(SEARCH("III*",A70)),"III",
ISNUMBER(SEARCH("II*",A70)),"II",
ISNUMBER(SEARCH("I*",A70)),"I")</f>
        <v>IV</v>
      </c>
      <c r="D70" cm="1">
        <f t="array" ref="D70">_xlfn.IFS(
ISNUMBER(SEARCH("-1*",A70)),1,
ISNUMBER(SEARCH("-2*",A70)),2)</f>
        <v>1</v>
      </c>
      <c r="E70" t="str" cm="1">
        <f t="array" ref="E70">_xlfn.IFS(
ISNUMBER(SEARCH("AUHV*",A70)),"AUHV",
ISNUMBER(SEARCH("BWW*",A70)),"BWW",
ISNUMBER(SEARCH("C1*",A70)),"C1",
ISNUMBER(SEARCH("C2*",A70)),"C2",
ISNUMBER(SEARCH("ORG*",A70)),"ORG",
ISNUMBER(SEARCH("PRY*",A70)),"PRY",
ISNUMBER(SEARCH("RCL*",A70)),"RCL",
ISNUMBER(SEARCH("SWW*",A70)),"SWW",
ISNUMBER(SEARCH("MNHV*",A70)),"MNHV")</f>
        <v>RCL</v>
      </c>
      <c r="F70">
        <v>6.09</v>
      </c>
      <c r="G70">
        <v>31.18</v>
      </c>
      <c r="H70">
        <f t="shared" si="6"/>
        <v>25.09</v>
      </c>
      <c r="I70">
        <v>25.35</v>
      </c>
      <c r="J70">
        <f t="shared" si="7"/>
        <v>19.260000000000002</v>
      </c>
      <c r="K70">
        <f t="shared" si="8"/>
        <v>0.76763650856915111</v>
      </c>
    </row>
    <row r="71" spans="1:11" x14ac:dyDescent="0.2">
      <c r="A71" t="s">
        <v>20</v>
      </c>
      <c r="C71" t="str" cm="1">
        <f t="array" ref="C71">_xlfn.IFS(
ISNUMBER(SEARCH("IV*",A71)),"IV",
ISNUMBER(SEARCH("III*",A71)),"III",
ISNUMBER(SEARCH("II*",A71)),"II",
ISNUMBER(SEARCH("I*",A71)),"I")</f>
        <v>IV</v>
      </c>
      <c r="D71" cm="1">
        <f t="array" ref="D71">_xlfn.IFS(
ISNUMBER(SEARCH("-1*",A71)),1,
ISNUMBER(SEARCH("-2*",A71)),2)</f>
        <v>2</v>
      </c>
      <c r="E71" t="str" cm="1">
        <f t="array" ref="E71">_xlfn.IFS(
ISNUMBER(SEARCH("AUHV*",A71)),"AUHV",
ISNUMBER(SEARCH("BWW*",A71)),"BWW",
ISNUMBER(SEARCH("C1*",A71)),"C1",
ISNUMBER(SEARCH("C2*",A71)),"C2",
ISNUMBER(SEARCH("ORG*",A71)),"ORG",
ISNUMBER(SEARCH("PRY*",A71)),"PRY",
ISNUMBER(SEARCH("RCL*",A71)),"RCL",
ISNUMBER(SEARCH("SWW*",A71)),"SWW",
ISNUMBER(SEARCH("MNHV*",A71)),"MNHV")</f>
        <v>RCL</v>
      </c>
      <c r="F71">
        <v>6.28</v>
      </c>
      <c r="G71">
        <v>23.82</v>
      </c>
      <c r="H71">
        <f t="shared" si="6"/>
        <v>17.54</v>
      </c>
      <c r="I71">
        <v>19.71</v>
      </c>
      <c r="J71">
        <f t="shared" si="7"/>
        <v>13.43</v>
      </c>
      <c r="K71">
        <f t="shared" si="8"/>
        <v>0.76567844925883699</v>
      </c>
    </row>
    <row r="72" spans="1:11" x14ac:dyDescent="0.2">
      <c r="A72" t="s">
        <v>18</v>
      </c>
      <c r="C72" t="str" cm="1">
        <f t="array" ref="C72">_xlfn.IFS(
ISNUMBER(SEARCH("IV*",A72)),"IV",
ISNUMBER(SEARCH("III*",A72)),"III",
ISNUMBER(SEARCH("II*",A72)),"II",
ISNUMBER(SEARCH("I*",A72)),"I")</f>
        <v>IV</v>
      </c>
      <c r="D72" cm="1">
        <f t="array" ref="D72">_xlfn.IFS(
ISNUMBER(SEARCH("-1*",A72)),1,
ISNUMBER(SEARCH("-2*",A72)),2)</f>
        <v>1</v>
      </c>
      <c r="E72" t="str" cm="1">
        <f t="array" ref="E72">_xlfn.IFS(
ISNUMBER(SEARCH("AUHV*",A72)),"AUHV",
ISNUMBER(SEARCH("BWW*",A72)),"BWW",
ISNUMBER(SEARCH("C1*",A72)),"C1",
ISNUMBER(SEARCH("C2*",A72)),"C2",
ISNUMBER(SEARCH("ORG*",A72)),"ORG",
ISNUMBER(SEARCH("PRY*",A72)),"PRY",
ISNUMBER(SEARCH("RCL*",A72)),"RCL",
ISNUMBER(SEARCH("SWW*",A72)),"SWW",
ISNUMBER(SEARCH("MNHV*",A72)),"MNHV")</f>
        <v>SWW</v>
      </c>
      <c r="F72">
        <v>6.27</v>
      </c>
      <c r="G72">
        <v>28.78</v>
      </c>
      <c r="H72">
        <f t="shared" si="6"/>
        <v>22.51</v>
      </c>
      <c r="I72">
        <v>22.69</v>
      </c>
      <c r="J72">
        <f t="shared" si="7"/>
        <v>16.420000000000002</v>
      </c>
      <c r="K72">
        <f t="shared" si="8"/>
        <v>0.72945357618836071</v>
      </c>
    </row>
    <row r="73" spans="1:11" x14ac:dyDescent="0.2">
      <c r="A73" t="s">
        <v>19</v>
      </c>
      <c r="C73" t="str" cm="1">
        <f t="array" ref="C73">_xlfn.IFS(
ISNUMBER(SEARCH("IV*",A73)),"IV",
ISNUMBER(SEARCH("III*",A73)),"III",
ISNUMBER(SEARCH("II*",A73)),"II",
ISNUMBER(SEARCH("I*",A73)),"I")</f>
        <v>IV</v>
      </c>
      <c r="D73" cm="1">
        <f t="array" ref="D73">_xlfn.IFS(
ISNUMBER(SEARCH("-1*",A73)),1,
ISNUMBER(SEARCH("-2*",A73)),2)</f>
        <v>2</v>
      </c>
      <c r="E73" t="str" cm="1">
        <f t="array" ref="E73">_xlfn.IFS(
ISNUMBER(SEARCH("AUHV*",A73)),"AUHV",
ISNUMBER(SEARCH("BWW*",A73)),"BWW",
ISNUMBER(SEARCH("C1*",A73)),"C1",
ISNUMBER(SEARCH("C2*",A73)),"C2",
ISNUMBER(SEARCH("ORG*",A73)),"ORG",
ISNUMBER(SEARCH("PRY*",A73)),"PRY",
ISNUMBER(SEARCH("RCL*",A73)),"RCL",
ISNUMBER(SEARCH("SWW*",A73)),"SWW",
ISNUMBER(SEARCH("MNHV*",A73)),"MNHV")</f>
        <v>SWW</v>
      </c>
      <c r="F73">
        <v>6.25</v>
      </c>
      <c r="G73">
        <v>37.270000000000003</v>
      </c>
      <c r="H73">
        <f t="shared" si="6"/>
        <v>31.020000000000003</v>
      </c>
      <c r="I73">
        <v>28.96</v>
      </c>
      <c r="J73">
        <f t="shared" si="7"/>
        <v>22.71</v>
      </c>
      <c r="K73">
        <f t="shared" si="8"/>
        <v>0.73210831721470015</v>
      </c>
    </row>
  </sheetData>
  <sortState xmlns:xlrd2="http://schemas.microsoft.com/office/spreadsheetml/2017/richdata2" ref="A2:M73">
    <sortCondition ref="A2:A73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80468-41CD-A145-A816-B7250514C60C}">
  <dimension ref="A1:K73"/>
  <sheetViews>
    <sheetView workbookViewId="0">
      <selection sqref="A1:K73"/>
    </sheetView>
  </sheetViews>
  <sheetFormatPr baseColWidth="10" defaultRowHeight="16" x14ac:dyDescent="0.2"/>
  <cols>
    <col min="1" max="5" width="13.5" customWidth="1"/>
  </cols>
  <sheetData>
    <row r="1" spans="1:11" x14ac:dyDescent="0.2">
      <c r="A1" s="2" t="s">
        <v>0</v>
      </c>
      <c r="B1" s="2" t="s">
        <v>90</v>
      </c>
      <c r="C1" s="2" t="s">
        <v>91</v>
      </c>
      <c r="D1" s="2" t="s">
        <v>92</v>
      </c>
      <c r="E1" s="2" t="s">
        <v>93</v>
      </c>
      <c r="F1" s="2" t="s">
        <v>1</v>
      </c>
      <c r="G1" s="2" t="s">
        <v>2</v>
      </c>
      <c r="H1" s="2" t="s">
        <v>4</v>
      </c>
      <c r="I1" s="2" t="s">
        <v>3</v>
      </c>
      <c r="J1" s="2" t="s">
        <v>5</v>
      </c>
      <c r="K1" s="2" t="s">
        <v>60</v>
      </c>
    </row>
    <row r="2" spans="1:11" x14ac:dyDescent="0.2">
      <c r="A2" s="2" t="s">
        <v>94</v>
      </c>
      <c r="B2" s="2"/>
      <c r="C2" s="2" t="s">
        <v>167</v>
      </c>
      <c r="D2" s="2">
        <v>1</v>
      </c>
      <c r="E2" s="2" t="s">
        <v>63</v>
      </c>
      <c r="F2" s="3">
        <v>2.46</v>
      </c>
      <c r="G2" s="3">
        <v>17.010000000000002</v>
      </c>
      <c r="H2" s="2"/>
      <c r="I2" s="3">
        <v>14.1</v>
      </c>
      <c r="J2" s="2"/>
      <c r="K2" s="2"/>
    </row>
    <row r="3" spans="1:11" x14ac:dyDescent="0.2">
      <c r="A3" s="2" t="s">
        <v>95</v>
      </c>
      <c r="B3" s="2"/>
      <c r="C3" s="2" t="s">
        <v>167</v>
      </c>
      <c r="D3" s="2">
        <v>2</v>
      </c>
      <c r="E3" s="2" t="s">
        <v>63</v>
      </c>
      <c r="F3" s="3">
        <v>2.59</v>
      </c>
      <c r="G3" s="3">
        <v>13.41</v>
      </c>
      <c r="H3" s="2"/>
      <c r="I3" s="3">
        <v>11.26</v>
      </c>
      <c r="J3" s="2"/>
      <c r="K3" s="2"/>
    </row>
    <row r="4" spans="1:11" x14ac:dyDescent="0.2">
      <c r="A4" s="2" t="s">
        <v>96</v>
      </c>
      <c r="B4" s="2"/>
      <c r="C4" s="2" t="s">
        <v>167</v>
      </c>
      <c r="D4" s="2">
        <v>1</v>
      </c>
      <c r="E4" s="2" t="s">
        <v>64</v>
      </c>
      <c r="F4" s="3">
        <v>2.68</v>
      </c>
      <c r="G4" s="3">
        <v>14.11</v>
      </c>
      <c r="H4" s="2"/>
      <c r="I4" s="3">
        <v>11.88</v>
      </c>
      <c r="J4" s="2"/>
      <c r="K4" s="2"/>
    </row>
    <row r="5" spans="1:11" x14ac:dyDescent="0.2">
      <c r="A5" s="2" t="s">
        <v>97</v>
      </c>
      <c r="B5" s="2"/>
      <c r="C5" s="2" t="s">
        <v>167</v>
      </c>
      <c r="D5" s="2">
        <v>2</v>
      </c>
      <c r="E5" s="2" t="s">
        <v>64</v>
      </c>
      <c r="F5" s="3">
        <v>2.7</v>
      </c>
      <c r="G5" s="3">
        <v>14.62</v>
      </c>
      <c r="H5" s="2"/>
      <c r="I5" s="3">
        <v>12.27</v>
      </c>
      <c r="J5" s="2"/>
      <c r="K5" s="2"/>
    </row>
    <row r="6" spans="1:11" x14ac:dyDescent="0.2">
      <c r="A6" s="2" t="s">
        <v>98</v>
      </c>
      <c r="B6" s="2"/>
      <c r="C6" s="2" t="s">
        <v>167</v>
      </c>
      <c r="D6" s="2">
        <v>1</v>
      </c>
      <c r="E6" s="2" t="s">
        <v>65</v>
      </c>
      <c r="F6" s="3">
        <v>2.58</v>
      </c>
      <c r="G6" s="3">
        <v>14.41</v>
      </c>
      <c r="H6" s="2"/>
      <c r="I6" s="3">
        <v>11.84</v>
      </c>
      <c r="J6" s="2"/>
      <c r="K6" s="2"/>
    </row>
    <row r="7" spans="1:11" x14ac:dyDescent="0.2">
      <c r="A7" s="2" t="s">
        <v>99</v>
      </c>
      <c r="B7" s="2"/>
      <c r="C7" s="2" t="s">
        <v>167</v>
      </c>
      <c r="D7" s="2">
        <v>2</v>
      </c>
      <c r="E7" s="2" t="s">
        <v>65</v>
      </c>
      <c r="F7" s="3">
        <v>2.64</v>
      </c>
      <c r="G7" s="3">
        <v>14.64</v>
      </c>
      <c r="H7" s="2"/>
      <c r="I7" s="3">
        <v>12.03</v>
      </c>
      <c r="J7" s="2"/>
      <c r="K7" s="2"/>
    </row>
    <row r="8" spans="1:11" x14ac:dyDescent="0.2">
      <c r="A8" s="2" t="s">
        <v>100</v>
      </c>
      <c r="B8" s="2"/>
      <c r="C8" s="2" t="s">
        <v>167</v>
      </c>
      <c r="D8" s="2">
        <v>1</v>
      </c>
      <c r="E8" s="2" t="s">
        <v>66</v>
      </c>
      <c r="F8" s="3">
        <v>2.73</v>
      </c>
      <c r="G8" s="3">
        <v>14.42</v>
      </c>
      <c r="H8" s="2"/>
      <c r="I8" s="3">
        <v>12</v>
      </c>
      <c r="J8" s="2"/>
      <c r="K8" s="2"/>
    </row>
    <row r="9" spans="1:11" x14ac:dyDescent="0.2">
      <c r="A9" s="2" t="s">
        <v>101</v>
      </c>
      <c r="B9" s="2"/>
      <c r="C9" s="2" t="s">
        <v>167</v>
      </c>
      <c r="D9" s="2">
        <v>2</v>
      </c>
      <c r="E9" s="2" t="s">
        <v>66</v>
      </c>
      <c r="F9" s="3">
        <v>2.67</v>
      </c>
      <c r="G9" s="3">
        <v>15.4</v>
      </c>
      <c r="H9" s="2"/>
      <c r="I9" s="3">
        <v>12.74</v>
      </c>
      <c r="J9" s="2"/>
      <c r="K9" s="2"/>
    </row>
    <row r="10" spans="1:11" x14ac:dyDescent="0.2">
      <c r="A10" s="2" t="s">
        <v>102</v>
      </c>
      <c r="B10" s="2"/>
      <c r="C10" s="2" t="s">
        <v>167</v>
      </c>
      <c r="D10" s="2">
        <v>1</v>
      </c>
      <c r="E10" s="2" t="s">
        <v>67</v>
      </c>
      <c r="F10" s="3">
        <v>2.46</v>
      </c>
      <c r="G10" s="3">
        <v>12.99</v>
      </c>
      <c r="H10" s="2"/>
      <c r="I10" s="3">
        <v>10.94</v>
      </c>
      <c r="J10" s="2"/>
      <c r="K10" s="2"/>
    </row>
    <row r="11" spans="1:11" x14ac:dyDescent="0.2">
      <c r="A11" s="2" t="s">
        <v>103</v>
      </c>
      <c r="B11" s="2"/>
      <c r="C11" s="2" t="s">
        <v>167</v>
      </c>
      <c r="D11" s="2">
        <v>2</v>
      </c>
      <c r="E11" s="2" t="s">
        <v>67</v>
      </c>
      <c r="F11" s="3">
        <v>2.63</v>
      </c>
      <c r="G11" s="3">
        <v>14.74</v>
      </c>
      <c r="H11" s="2"/>
      <c r="I11" s="3">
        <v>12.39</v>
      </c>
      <c r="J11" s="2"/>
      <c r="K11" s="2"/>
    </row>
    <row r="12" spans="1:11" x14ac:dyDescent="0.2">
      <c r="A12" s="2" t="s">
        <v>104</v>
      </c>
      <c r="B12" s="2"/>
      <c r="C12" s="2" t="s">
        <v>167</v>
      </c>
      <c r="D12" s="2">
        <v>1</v>
      </c>
      <c r="E12" s="2" t="s">
        <v>68</v>
      </c>
      <c r="F12" s="3">
        <v>2.64</v>
      </c>
      <c r="G12" s="3">
        <v>13.05</v>
      </c>
      <c r="H12" s="2"/>
      <c r="I12" s="3">
        <v>11.06</v>
      </c>
      <c r="J12" s="2"/>
      <c r="K12" s="2"/>
    </row>
    <row r="13" spans="1:11" x14ac:dyDescent="0.2">
      <c r="A13" s="2" t="s">
        <v>105</v>
      </c>
      <c r="B13" s="2"/>
      <c r="C13" s="2" t="s">
        <v>167</v>
      </c>
      <c r="D13" s="2">
        <v>2</v>
      </c>
      <c r="E13" s="2" t="s">
        <v>68</v>
      </c>
      <c r="F13" s="3">
        <v>2.62</v>
      </c>
      <c r="G13" s="3">
        <v>12.95</v>
      </c>
      <c r="H13" s="2"/>
      <c r="I13" s="3">
        <v>10.98</v>
      </c>
      <c r="J13" s="2"/>
      <c r="K13" s="2"/>
    </row>
    <row r="14" spans="1:11" x14ac:dyDescent="0.2">
      <c r="A14" s="2" t="s">
        <v>106</v>
      </c>
      <c r="B14" s="2"/>
      <c r="C14" s="2" t="s">
        <v>167</v>
      </c>
      <c r="D14" s="2">
        <v>1</v>
      </c>
      <c r="E14" s="2" t="s">
        <v>69</v>
      </c>
      <c r="F14" s="3">
        <v>2.61</v>
      </c>
      <c r="G14" s="3">
        <v>13.32</v>
      </c>
      <c r="H14" s="2"/>
      <c r="I14" s="3">
        <v>11.5</v>
      </c>
      <c r="J14" s="2"/>
      <c r="K14" s="2"/>
    </row>
    <row r="15" spans="1:11" x14ac:dyDescent="0.2">
      <c r="A15" s="2" t="s">
        <v>107</v>
      </c>
      <c r="B15" s="2"/>
      <c r="C15" s="2" t="s">
        <v>167</v>
      </c>
      <c r="D15" s="2">
        <v>2</v>
      </c>
      <c r="E15" s="2" t="s">
        <v>69</v>
      </c>
      <c r="F15" s="3">
        <v>2.72</v>
      </c>
      <c r="G15" s="3">
        <v>13.63</v>
      </c>
      <c r="H15" s="2"/>
      <c r="I15" s="3">
        <v>11.77</v>
      </c>
      <c r="J15" s="2"/>
      <c r="K15" s="2"/>
    </row>
    <row r="16" spans="1:11" x14ac:dyDescent="0.2">
      <c r="A16" s="2" t="s">
        <v>108</v>
      </c>
      <c r="B16" s="2"/>
      <c r="C16" s="2" t="s">
        <v>167</v>
      </c>
      <c r="D16" s="2">
        <v>1</v>
      </c>
      <c r="E16" s="2" t="s">
        <v>70</v>
      </c>
      <c r="F16" s="3">
        <v>2.77</v>
      </c>
      <c r="G16" s="3">
        <v>13.92</v>
      </c>
      <c r="H16" s="2"/>
      <c r="I16" s="3">
        <v>11.59</v>
      </c>
      <c r="J16" s="2"/>
      <c r="K16" s="2"/>
    </row>
    <row r="17" spans="1:11" x14ac:dyDescent="0.2">
      <c r="A17" s="2" t="s">
        <v>109</v>
      </c>
      <c r="B17" s="2"/>
      <c r="C17" s="2" t="s">
        <v>167</v>
      </c>
      <c r="D17" s="2">
        <v>2</v>
      </c>
      <c r="E17" s="2" t="s">
        <v>70</v>
      </c>
      <c r="F17" s="3">
        <v>2.76</v>
      </c>
      <c r="G17" s="3">
        <v>15.75</v>
      </c>
      <c r="H17" s="2"/>
      <c r="I17" s="3">
        <v>13.06</v>
      </c>
      <c r="J17" s="2"/>
      <c r="K17" s="2"/>
    </row>
    <row r="18" spans="1:11" x14ac:dyDescent="0.2">
      <c r="A18" s="2" t="s">
        <v>110</v>
      </c>
      <c r="B18" s="2"/>
      <c r="C18" s="2" t="s">
        <v>167</v>
      </c>
      <c r="D18" s="2">
        <v>1</v>
      </c>
      <c r="E18" s="2" t="s">
        <v>71</v>
      </c>
      <c r="F18" s="3">
        <v>2.7</v>
      </c>
      <c r="G18" s="3">
        <v>14.82</v>
      </c>
      <c r="H18" s="2"/>
      <c r="I18" s="3">
        <v>12.37</v>
      </c>
      <c r="J18" s="2"/>
      <c r="K18" s="2"/>
    </row>
    <row r="19" spans="1:11" x14ac:dyDescent="0.2">
      <c r="A19" s="2" t="s">
        <v>111</v>
      </c>
      <c r="B19" s="2"/>
      <c r="C19" s="2" t="s">
        <v>167</v>
      </c>
      <c r="D19" s="2">
        <v>2</v>
      </c>
      <c r="E19" s="2" t="s">
        <v>71</v>
      </c>
      <c r="F19" s="3">
        <v>2.69</v>
      </c>
      <c r="G19" s="3">
        <v>13.19</v>
      </c>
      <c r="H19" s="2"/>
      <c r="I19" s="3">
        <v>11.06</v>
      </c>
      <c r="J19" s="2"/>
      <c r="K19" s="2"/>
    </row>
    <row r="20" spans="1:11" x14ac:dyDescent="0.2">
      <c r="A20" s="2" t="s">
        <v>112</v>
      </c>
      <c r="B20" s="2"/>
      <c r="C20" s="2" t="s">
        <v>168</v>
      </c>
      <c r="D20" s="2">
        <v>1</v>
      </c>
      <c r="E20" s="2" t="s">
        <v>63</v>
      </c>
      <c r="F20" s="2">
        <v>2.48</v>
      </c>
      <c r="G20" s="2">
        <v>15.1</v>
      </c>
      <c r="H20" s="2"/>
      <c r="I20" s="2">
        <v>12.81</v>
      </c>
      <c r="J20" s="2"/>
      <c r="K20" s="2"/>
    </row>
    <row r="21" spans="1:11" x14ac:dyDescent="0.2">
      <c r="A21" s="2" t="s">
        <v>113</v>
      </c>
      <c r="B21" s="2"/>
      <c r="C21" s="2" t="s">
        <v>168</v>
      </c>
      <c r="D21" s="2">
        <v>2</v>
      </c>
      <c r="E21" s="2" t="s">
        <v>63</v>
      </c>
      <c r="F21" s="2">
        <v>2.56</v>
      </c>
      <c r="G21" s="2">
        <v>15.35</v>
      </c>
      <c r="H21" s="2"/>
      <c r="I21" s="2">
        <v>13.07</v>
      </c>
      <c r="J21" s="2"/>
      <c r="K21" s="2"/>
    </row>
    <row r="22" spans="1:11" x14ac:dyDescent="0.2">
      <c r="A22" s="2" t="s">
        <v>114</v>
      </c>
      <c r="B22" s="2"/>
      <c r="C22" s="2" t="s">
        <v>168</v>
      </c>
      <c r="D22" s="2">
        <v>1</v>
      </c>
      <c r="E22" s="2" t="s">
        <v>64</v>
      </c>
      <c r="F22" s="2">
        <v>2.7</v>
      </c>
      <c r="G22" s="2">
        <v>13.58</v>
      </c>
      <c r="H22" s="2"/>
      <c r="I22" s="2">
        <v>11.36</v>
      </c>
      <c r="J22" s="2"/>
      <c r="K22" s="2"/>
    </row>
    <row r="23" spans="1:11" x14ac:dyDescent="0.2">
      <c r="A23" s="2" t="s">
        <v>115</v>
      </c>
      <c r="B23" s="2"/>
      <c r="C23" s="2" t="s">
        <v>168</v>
      </c>
      <c r="D23" s="2">
        <v>2</v>
      </c>
      <c r="E23" s="2" t="s">
        <v>64</v>
      </c>
      <c r="F23" s="2">
        <v>2.71</v>
      </c>
      <c r="G23" s="2">
        <v>14.97</v>
      </c>
      <c r="H23" s="2"/>
      <c r="I23" s="2">
        <v>12.52</v>
      </c>
      <c r="J23" s="2"/>
      <c r="K23" s="2"/>
    </row>
    <row r="24" spans="1:11" x14ac:dyDescent="0.2">
      <c r="A24" s="2" t="s">
        <v>116</v>
      </c>
      <c r="B24" s="2"/>
      <c r="C24" s="2" t="s">
        <v>168</v>
      </c>
      <c r="D24" s="2">
        <v>1</v>
      </c>
      <c r="E24" s="2" t="s">
        <v>65</v>
      </c>
      <c r="F24" s="2">
        <v>2.71</v>
      </c>
      <c r="G24" s="2">
        <v>19.399999999999999</v>
      </c>
      <c r="H24" s="2"/>
      <c r="I24" s="2">
        <v>16.2</v>
      </c>
      <c r="J24" s="2"/>
      <c r="K24" s="2"/>
    </row>
    <row r="25" spans="1:11" x14ac:dyDescent="0.2">
      <c r="A25" s="2" t="s">
        <v>117</v>
      </c>
      <c r="B25" s="2"/>
      <c r="C25" s="2" t="s">
        <v>168</v>
      </c>
      <c r="D25" s="2">
        <v>2</v>
      </c>
      <c r="E25" s="2" t="s">
        <v>65</v>
      </c>
      <c r="F25" s="2">
        <v>2.71</v>
      </c>
      <c r="G25" s="2">
        <v>9.7100000000000009</v>
      </c>
      <c r="H25" s="2"/>
      <c r="I25" s="2">
        <v>8.4</v>
      </c>
      <c r="J25" s="2"/>
      <c r="K25" s="2"/>
    </row>
    <row r="26" spans="1:11" x14ac:dyDescent="0.2">
      <c r="A26" s="2" t="s">
        <v>118</v>
      </c>
      <c r="B26" s="2"/>
      <c r="C26" s="2" t="s">
        <v>168</v>
      </c>
      <c r="D26" s="2">
        <v>1</v>
      </c>
      <c r="E26" s="2" t="s">
        <v>66</v>
      </c>
      <c r="F26" s="2">
        <v>2.71</v>
      </c>
      <c r="G26" s="2">
        <v>12.25</v>
      </c>
      <c r="H26" s="2"/>
      <c r="I26" s="2">
        <v>10.36</v>
      </c>
      <c r="J26" s="2"/>
      <c r="K26" s="2"/>
    </row>
    <row r="27" spans="1:11" x14ac:dyDescent="0.2">
      <c r="A27" s="2" t="s">
        <v>119</v>
      </c>
      <c r="B27" s="2"/>
      <c r="C27" s="2" t="s">
        <v>168</v>
      </c>
      <c r="D27" s="2">
        <v>2</v>
      </c>
      <c r="E27" s="2" t="s">
        <v>66</v>
      </c>
      <c r="F27" s="2">
        <v>2.7</v>
      </c>
      <c r="G27" s="2">
        <v>12.6</v>
      </c>
      <c r="H27" s="2"/>
      <c r="I27" s="2">
        <v>10.66</v>
      </c>
      <c r="J27" s="2"/>
      <c r="K27" s="2"/>
    </row>
    <row r="28" spans="1:11" x14ac:dyDescent="0.2">
      <c r="A28" s="2" t="s">
        <v>120</v>
      </c>
      <c r="B28" s="2"/>
      <c r="C28" s="2" t="s">
        <v>168</v>
      </c>
      <c r="D28" s="2">
        <v>1</v>
      </c>
      <c r="E28" s="2" t="s">
        <v>67</v>
      </c>
      <c r="F28" s="2">
        <v>2.5099999999999998</v>
      </c>
      <c r="G28" s="2">
        <v>16.37</v>
      </c>
      <c r="H28" s="2"/>
      <c r="I28" s="2">
        <v>13.58</v>
      </c>
      <c r="J28" s="2"/>
      <c r="K28" s="2"/>
    </row>
    <row r="29" spans="1:11" x14ac:dyDescent="0.2">
      <c r="A29" s="2" t="s">
        <v>121</v>
      </c>
      <c r="B29" s="2"/>
      <c r="C29" s="2" t="s">
        <v>168</v>
      </c>
      <c r="D29" s="2">
        <v>2</v>
      </c>
      <c r="E29" s="2" t="s">
        <v>67</v>
      </c>
      <c r="F29" s="2">
        <v>2.52</v>
      </c>
      <c r="G29" s="2">
        <v>17.79</v>
      </c>
      <c r="H29" s="2"/>
      <c r="I29" s="2">
        <v>14.68</v>
      </c>
      <c r="J29" s="2"/>
      <c r="K29" s="2"/>
    </row>
    <row r="30" spans="1:11" x14ac:dyDescent="0.2">
      <c r="A30" s="2" t="s">
        <v>122</v>
      </c>
      <c r="B30" s="2"/>
      <c r="C30" s="2" t="s">
        <v>168</v>
      </c>
      <c r="D30" s="2">
        <v>1</v>
      </c>
      <c r="E30" s="2" t="s">
        <v>68</v>
      </c>
      <c r="F30" s="2">
        <v>2.62</v>
      </c>
      <c r="G30" s="2">
        <v>11.64</v>
      </c>
      <c r="H30" s="2"/>
      <c r="I30" s="2">
        <v>10.08</v>
      </c>
      <c r="J30" s="2"/>
      <c r="K30" s="2"/>
    </row>
    <row r="31" spans="1:11" x14ac:dyDescent="0.2">
      <c r="A31" s="2" t="s">
        <v>123</v>
      </c>
      <c r="B31" s="2"/>
      <c r="C31" s="2" t="s">
        <v>168</v>
      </c>
      <c r="D31" s="2">
        <v>2</v>
      </c>
      <c r="E31" s="2" t="s">
        <v>68</v>
      </c>
      <c r="F31" s="2">
        <v>2.5499999999999998</v>
      </c>
      <c r="G31" s="2">
        <v>12.36</v>
      </c>
      <c r="H31" s="2"/>
      <c r="I31" s="2">
        <v>10.68</v>
      </c>
      <c r="J31" s="2"/>
      <c r="K31" s="2"/>
    </row>
    <row r="32" spans="1:11" x14ac:dyDescent="0.2">
      <c r="A32" s="2" t="s">
        <v>124</v>
      </c>
      <c r="B32" s="2"/>
      <c r="C32" s="2" t="s">
        <v>168</v>
      </c>
      <c r="D32" s="2">
        <v>1</v>
      </c>
      <c r="E32" s="2" t="s">
        <v>69</v>
      </c>
      <c r="F32" s="2">
        <v>2.58</v>
      </c>
      <c r="G32" s="2">
        <v>14.14</v>
      </c>
      <c r="H32" s="2"/>
      <c r="I32" s="2">
        <v>12.06</v>
      </c>
      <c r="J32" s="2"/>
      <c r="K32" s="2"/>
    </row>
    <row r="33" spans="1:11" x14ac:dyDescent="0.2">
      <c r="A33" s="2" t="s">
        <v>125</v>
      </c>
      <c r="B33" s="2"/>
      <c r="C33" s="2" t="s">
        <v>168</v>
      </c>
      <c r="D33" s="2">
        <v>2</v>
      </c>
      <c r="E33" s="2" t="s">
        <v>69</v>
      </c>
      <c r="F33" s="2">
        <v>2.63</v>
      </c>
      <c r="G33" s="2">
        <v>11.43</v>
      </c>
      <c r="H33" s="2"/>
      <c r="I33" s="2">
        <v>9.86</v>
      </c>
      <c r="J33" s="2"/>
      <c r="K33" s="2"/>
    </row>
    <row r="34" spans="1:11" x14ac:dyDescent="0.2">
      <c r="A34" s="2" t="s">
        <v>126</v>
      </c>
      <c r="B34" s="2"/>
      <c r="C34" s="2" t="s">
        <v>168</v>
      </c>
      <c r="D34" s="2">
        <v>1</v>
      </c>
      <c r="E34" s="2" t="s">
        <v>70</v>
      </c>
      <c r="F34" s="2">
        <v>2.68</v>
      </c>
      <c r="G34" s="2">
        <v>14.01</v>
      </c>
      <c r="H34" s="2"/>
      <c r="I34" s="2">
        <v>11.78</v>
      </c>
      <c r="J34" s="2"/>
      <c r="K34" s="2"/>
    </row>
    <row r="35" spans="1:11" x14ac:dyDescent="0.2">
      <c r="A35" s="2" t="s">
        <v>127</v>
      </c>
      <c r="B35" s="2"/>
      <c r="C35" s="2" t="s">
        <v>168</v>
      </c>
      <c r="D35" s="2">
        <v>2</v>
      </c>
      <c r="E35" s="2" t="s">
        <v>70</v>
      </c>
      <c r="F35" s="2">
        <v>2.62</v>
      </c>
      <c r="G35" s="2">
        <v>16.55</v>
      </c>
      <c r="H35" s="2"/>
      <c r="I35" s="2">
        <v>13.88</v>
      </c>
      <c r="J35" s="2"/>
      <c r="K35" s="2"/>
    </row>
    <row r="36" spans="1:11" x14ac:dyDescent="0.2">
      <c r="A36" s="2" t="s">
        <v>128</v>
      </c>
      <c r="B36" s="2"/>
      <c r="C36" s="2" t="s">
        <v>168</v>
      </c>
      <c r="D36" s="2">
        <v>1</v>
      </c>
      <c r="E36" s="2" t="s">
        <v>71</v>
      </c>
      <c r="F36" s="2">
        <v>2.64</v>
      </c>
      <c r="G36" s="2">
        <v>12.68</v>
      </c>
      <c r="H36" s="2"/>
      <c r="I36" s="2">
        <v>10.99</v>
      </c>
      <c r="J36" s="2"/>
      <c r="K36" s="2"/>
    </row>
    <row r="37" spans="1:11" x14ac:dyDescent="0.2">
      <c r="A37" s="2" t="s">
        <v>129</v>
      </c>
      <c r="B37" s="2"/>
      <c r="C37" s="2" t="s">
        <v>168</v>
      </c>
      <c r="D37" s="2">
        <v>2</v>
      </c>
      <c r="E37" s="2" t="s">
        <v>71</v>
      </c>
      <c r="F37" s="2">
        <v>2.62</v>
      </c>
      <c r="G37" s="2">
        <v>12.75</v>
      </c>
      <c r="H37" s="2"/>
      <c r="I37" s="2">
        <v>11.08</v>
      </c>
      <c r="J37" s="2"/>
      <c r="K37" s="2"/>
    </row>
    <row r="38" spans="1:11" x14ac:dyDescent="0.2">
      <c r="A38" s="2" t="s">
        <v>130</v>
      </c>
      <c r="B38" s="2"/>
      <c r="C38" s="2" t="s">
        <v>169</v>
      </c>
      <c r="D38" s="2">
        <v>1</v>
      </c>
      <c r="E38" s="2" t="s">
        <v>63</v>
      </c>
      <c r="F38" s="3">
        <v>2.46</v>
      </c>
      <c r="G38" s="3">
        <v>15.44</v>
      </c>
      <c r="H38" s="2"/>
      <c r="I38" s="3">
        <v>14.72</v>
      </c>
      <c r="J38" s="2" t="s">
        <v>166</v>
      </c>
      <c r="K38" s="2"/>
    </row>
    <row r="39" spans="1:11" x14ac:dyDescent="0.2">
      <c r="A39" s="2" t="s">
        <v>131</v>
      </c>
      <c r="B39" s="2"/>
      <c r="C39" s="2" t="s">
        <v>169</v>
      </c>
      <c r="D39" s="2">
        <v>2</v>
      </c>
      <c r="E39" s="2" t="s">
        <v>63</v>
      </c>
      <c r="F39" s="3">
        <v>2.5099999999999998</v>
      </c>
      <c r="G39" s="3">
        <v>15.19</v>
      </c>
      <c r="H39" s="2"/>
      <c r="I39" s="3">
        <v>14.56</v>
      </c>
      <c r="J39" s="2" t="s">
        <v>166</v>
      </c>
      <c r="K39" s="2"/>
    </row>
    <row r="40" spans="1:11" x14ac:dyDescent="0.2">
      <c r="A40" s="2" t="s">
        <v>132</v>
      </c>
      <c r="B40" s="2"/>
      <c r="C40" s="2" t="s">
        <v>169</v>
      </c>
      <c r="D40" s="2">
        <v>1</v>
      </c>
      <c r="E40" s="2" t="s">
        <v>64</v>
      </c>
      <c r="F40" s="3">
        <v>2.69</v>
      </c>
      <c r="G40" s="3">
        <v>15.94</v>
      </c>
      <c r="H40" s="2"/>
      <c r="I40" s="3">
        <v>15.78</v>
      </c>
      <c r="J40" s="2" t="s">
        <v>166</v>
      </c>
      <c r="K40" s="2"/>
    </row>
    <row r="41" spans="1:11" x14ac:dyDescent="0.2">
      <c r="A41" s="2" t="s">
        <v>133</v>
      </c>
      <c r="B41" s="2"/>
      <c r="C41" s="2" t="s">
        <v>169</v>
      </c>
      <c r="D41" s="2">
        <v>2</v>
      </c>
      <c r="E41" s="2" t="s">
        <v>64</v>
      </c>
      <c r="F41" s="3">
        <v>2.65</v>
      </c>
      <c r="G41" s="3">
        <v>15.06</v>
      </c>
      <c r="H41" s="2"/>
      <c r="I41" s="3">
        <v>15.02</v>
      </c>
      <c r="J41" s="2" t="s">
        <v>166</v>
      </c>
      <c r="K41" s="2"/>
    </row>
    <row r="42" spans="1:11" x14ac:dyDescent="0.2">
      <c r="A42" s="2" t="s">
        <v>134</v>
      </c>
      <c r="B42" s="2"/>
      <c r="C42" s="2" t="s">
        <v>169</v>
      </c>
      <c r="D42" s="2">
        <v>1</v>
      </c>
      <c r="E42" s="2" t="s">
        <v>65</v>
      </c>
      <c r="F42" s="3">
        <v>2.64</v>
      </c>
      <c r="G42" s="3">
        <v>14.9</v>
      </c>
      <c r="H42" s="2"/>
      <c r="I42" s="3">
        <v>14.67</v>
      </c>
      <c r="J42" s="2" t="s">
        <v>166</v>
      </c>
      <c r="K42" s="2"/>
    </row>
    <row r="43" spans="1:11" x14ac:dyDescent="0.2">
      <c r="A43" s="2" t="s">
        <v>135</v>
      </c>
      <c r="B43" s="2"/>
      <c r="C43" s="2" t="s">
        <v>169</v>
      </c>
      <c r="D43" s="2">
        <v>2</v>
      </c>
      <c r="E43" s="2" t="s">
        <v>65</v>
      </c>
      <c r="F43" s="3">
        <v>2.62</v>
      </c>
      <c r="G43" s="3">
        <v>10.7</v>
      </c>
      <c r="H43" s="2"/>
      <c r="I43" s="3">
        <v>11.24</v>
      </c>
      <c r="J43" s="2" t="s">
        <v>166</v>
      </c>
      <c r="K43" s="2"/>
    </row>
    <row r="44" spans="1:11" x14ac:dyDescent="0.2">
      <c r="A44" s="2" t="s">
        <v>136</v>
      </c>
      <c r="B44" s="2"/>
      <c r="C44" s="2" t="s">
        <v>169</v>
      </c>
      <c r="D44" s="2">
        <v>1</v>
      </c>
      <c r="E44" s="2" t="s">
        <v>66</v>
      </c>
      <c r="F44" s="3">
        <v>2.58</v>
      </c>
      <c r="G44" s="3">
        <v>5.31</v>
      </c>
      <c r="H44" s="2"/>
      <c r="I44" s="3">
        <v>6.83</v>
      </c>
      <c r="J44" s="2" t="s">
        <v>166</v>
      </c>
      <c r="K44" s="2"/>
    </row>
    <row r="45" spans="1:11" x14ac:dyDescent="0.2">
      <c r="A45" s="2" t="s">
        <v>137</v>
      </c>
      <c r="B45" s="2"/>
      <c r="C45" s="2" t="s">
        <v>169</v>
      </c>
      <c r="D45" s="2">
        <v>2</v>
      </c>
      <c r="E45" s="2" t="s">
        <v>66</v>
      </c>
      <c r="F45" s="3">
        <v>2.62</v>
      </c>
      <c r="G45" s="3">
        <v>10.34</v>
      </c>
      <c r="H45" s="2"/>
      <c r="I45" s="3">
        <v>10.5</v>
      </c>
      <c r="J45" s="2" t="s">
        <v>166</v>
      </c>
      <c r="K45" s="2"/>
    </row>
    <row r="46" spans="1:11" x14ac:dyDescent="0.2">
      <c r="A46" s="2" t="s">
        <v>138</v>
      </c>
      <c r="B46" s="2"/>
      <c r="C46" s="2" t="s">
        <v>169</v>
      </c>
      <c r="D46" s="2">
        <v>1</v>
      </c>
      <c r="E46" s="2" t="s">
        <v>67</v>
      </c>
      <c r="F46" s="3">
        <v>2.39</v>
      </c>
      <c r="G46" s="3">
        <v>15.78</v>
      </c>
      <c r="H46" s="2"/>
      <c r="I46" s="3">
        <v>14.97</v>
      </c>
      <c r="J46" s="2" t="s">
        <v>166</v>
      </c>
      <c r="K46" s="2"/>
    </row>
    <row r="47" spans="1:11" x14ac:dyDescent="0.2">
      <c r="A47" s="2" t="s">
        <v>139</v>
      </c>
      <c r="B47" s="2"/>
      <c r="C47" s="2" t="s">
        <v>169</v>
      </c>
      <c r="D47" s="2">
        <v>2</v>
      </c>
      <c r="E47" s="2" t="s">
        <v>67</v>
      </c>
      <c r="F47" s="3">
        <v>2.56</v>
      </c>
      <c r="G47" s="2"/>
      <c r="H47" s="2"/>
      <c r="I47" s="3">
        <v>15.03</v>
      </c>
      <c r="J47" s="2" t="s">
        <v>166</v>
      </c>
      <c r="K47" s="2"/>
    </row>
    <row r="48" spans="1:11" x14ac:dyDescent="0.2">
      <c r="A48" s="2" t="s">
        <v>140</v>
      </c>
      <c r="B48" s="2"/>
      <c r="C48" s="2" t="s">
        <v>169</v>
      </c>
      <c r="D48" s="2">
        <v>1</v>
      </c>
      <c r="E48" s="2" t="s">
        <v>68</v>
      </c>
      <c r="F48" s="3">
        <v>2.61</v>
      </c>
      <c r="G48" s="3">
        <v>15.47</v>
      </c>
      <c r="H48" s="2"/>
      <c r="I48" s="3">
        <v>15.37</v>
      </c>
      <c r="J48" s="2" t="s">
        <v>166</v>
      </c>
      <c r="K48" s="2"/>
    </row>
    <row r="49" spans="1:11" x14ac:dyDescent="0.2">
      <c r="A49" s="2" t="s">
        <v>141</v>
      </c>
      <c r="B49" s="2"/>
      <c r="C49" s="2" t="s">
        <v>169</v>
      </c>
      <c r="D49" s="2">
        <v>2</v>
      </c>
      <c r="E49" s="2" t="s">
        <v>68</v>
      </c>
      <c r="F49" s="3">
        <v>2.59</v>
      </c>
      <c r="G49" s="3">
        <v>15.15</v>
      </c>
      <c r="H49" s="2"/>
      <c r="I49" s="3">
        <v>15.1</v>
      </c>
      <c r="J49" s="2" t="s">
        <v>166</v>
      </c>
      <c r="K49" s="2"/>
    </row>
    <row r="50" spans="1:11" x14ac:dyDescent="0.2">
      <c r="A50" s="2" t="s">
        <v>142</v>
      </c>
      <c r="B50" s="2"/>
      <c r="C50" s="2" t="s">
        <v>169</v>
      </c>
      <c r="D50" s="2">
        <v>1</v>
      </c>
      <c r="E50" s="2" t="s">
        <v>69</v>
      </c>
      <c r="F50" s="3">
        <v>2.5499999999999998</v>
      </c>
      <c r="G50" s="3">
        <v>15.1</v>
      </c>
      <c r="H50" s="2"/>
      <c r="I50" s="3">
        <v>14.86</v>
      </c>
      <c r="J50" s="2" t="s">
        <v>166</v>
      </c>
      <c r="K50" s="2"/>
    </row>
    <row r="51" spans="1:11" x14ac:dyDescent="0.2">
      <c r="A51" s="2" t="s">
        <v>143</v>
      </c>
      <c r="B51" s="2"/>
      <c r="C51" s="2" t="s">
        <v>169</v>
      </c>
      <c r="D51" s="2">
        <v>2</v>
      </c>
      <c r="E51" s="2" t="s">
        <v>69</v>
      </c>
      <c r="F51" s="3">
        <v>2.6</v>
      </c>
      <c r="G51" s="3">
        <v>15.14</v>
      </c>
      <c r="H51" s="2"/>
      <c r="I51" s="3">
        <v>14.91</v>
      </c>
      <c r="J51" s="2" t="s">
        <v>166</v>
      </c>
      <c r="K51" s="2"/>
    </row>
    <row r="52" spans="1:11" x14ac:dyDescent="0.2">
      <c r="A52" s="2" t="s">
        <v>144</v>
      </c>
      <c r="B52" s="2"/>
      <c r="C52" s="2" t="s">
        <v>169</v>
      </c>
      <c r="D52" s="2">
        <v>1</v>
      </c>
      <c r="E52" s="2" t="s">
        <v>70</v>
      </c>
      <c r="F52" s="3">
        <v>2.61</v>
      </c>
      <c r="G52" s="3">
        <v>15.36</v>
      </c>
      <c r="H52" s="2"/>
      <c r="I52" s="3">
        <v>14.99</v>
      </c>
      <c r="J52" s="2" t="s">
        <v>166</v>
      </c>
      <c r="K52" s="2"/>
    </row>
    <row r="53" spans="1:11" x14ac:dyDescent="0.2">
      <c r="A53" s="2" t="s">
        <v>145</v>
      </c>
      <c r="B53" s="2"/>
      <c r="C53" s="2" t="s">
        <v>169</v>
      </c>
      <c r="D53" s="2">
        <v>2</v>
      </c>
      <c r="E53" s="2" t="s">
        <v>70</v>
      </c>
      <c r="F53" s="3">
        <v>2.7</v>
      </c>
      <c r="G53" s="3">
        <v>15.31</v>
      </c>
      <c r="H53" s="2"/>
      <c r="I53" s="3">
        <v>15.06</v>
      </c>
      <c r="J53" s="2" t="s">
        <v>166</v>
      </c>
      <c r="K53" s="2"/>
    </row>
    <row r="54" spans="1:11" x14ac:dyDescent="0.2">
      <c r="A54" s="2" t="s">
        <v>146</v>
      </c>
      <c r="B54" s="2"/>
      <c r="C54" s="2" t="s">
        <v>169</v>
      </c>
      <c r="D54" s="2">
        <v>1</v>
      </c>
      <c r="E54" s="2" t="s">
        <v>71</v>
      </c>
      <c r="F54" s="3">
        <v>2.63</v>
      </c>
      <c r="G54" s="3">
        <v>16.100000000000001</v>
      </c>
      <c r="H54" s="2"/>
      <c r="I54" s="3">
        <v>15.67</v>
      </c>
      <c r="J54" s="2" t="s">
        <v>166</v>
      </c>
      <c r="K54" s="2"/>
    </row>
    <row r="55" spans="1:11" x14ac:dyDescent="0.2">
      <c r="A55" s="2" t="s">
        <v>147</v>
      </c>
      <c r="B55" s="2"/>
      <c r="C55" s="2" t="s">
        <v>169</v>
      </c>
      <c r="D55" s="2">
        <v>2</v>
      </c>
      <c r="E55" s="2" t="s">
        <v>71</v>
      </c>
      <c r="F55" s="3">
        <v>2.62</v>
      </c>
      <c r="G55" s="3">
        <v>15.2</v>
      </c>
      <c r="H55" s="2"/>
      <c r="I55" s="3">
        <v>14.94</v>
      </c>
      <c r="J55" s="2" t="s">
        <v>166</v>
      </c>
      <c r="K55" s="2"/>
    </row>
    <row r="56" spans="1:11" x14ac:dyDescent="0.2">
      <c r="A56" s="2" t="s">
        <v>148</v>
      </c>
      <c r="B56" s="2"/>
      <c r="C56" s="2" t="s">
        <v>170</v>
      </c>
      <c r="D56" s="2">
        <v>1</v>
      </c>
      <c r="E56" s="2" t="s">
        <v>63</v>
      </c>
      <c r="F56" s="3">
        <v>2.62</v>
      </c>
      <c r="G56" s="3">
        <v>15.47</v>
      </c>
      <c r="H56" s="2"/>
      <c r="I56" s="3">
        <v>12.68</v>
      </c>
      <c r="J56" s="2"/>
      <c r="K56" s="2"/>
    </row>
    <row r="57" spans="1:11" x14ac:dyDescent="0.2">
      <c r="A57" s="2" t="s">
        <v>149</v>
      </c>
      <c r="B57" s="2"/>
      <c r="C57" s="2" t="s">
        <v>170</v>
      </c>
      <c r="D57" s="2">
        <v>2</v>
      </c>
      <c r="E57" s="2" t="s">
        <v>63</v>
      </c>
      <c r="F57" s="3">
        <v>2.5099999999999998</v>
      </c>
      <c r="G57" s="3">
        <v>13.66</v>
      </c>
      <c r="H57" s="2"/>
      <c r="I57" s="3">
        <v>11.23</v>
      </c>
      <c r="J57" s="2"/>
      <c r="K57" s="2"/>
    </row>
    <row r="58" spans="1:11" x14ac:dyDescent="0.2">
      <c r="A58" s="2" t="s">
        <v>150</v>
      </c>
      <c r="B58" s="2"/>
      <c r="C58" s="2" t="s">
        <v>170</v>
      </c>
      <c r="D58" s="2">
        <v>1</v>
      </c>
      <c r="E58" s="2" t="s">
        <v>64</v>
      </c>
      <c r="F58" s="3">
        <v>2.62</v>
      </c>
      <c r="G58" s="3">
        <v>15.95</v>
      </c>
      <c r="H58" s="2"/>
      <c r="I58" s="3">
        <v>13.36</v>
      </c>
      <c r="J58" s="2"/>
      <c r="K58" s="2"/>
    </row>
    <row r="59" spans="1:11" x14ac:dyDescent="0.2">
      <c r="A59" s="2" t="s">
        <v>151</v>
      </c>
      <c r="B59" s="2"/>
      <c r="C59" s="2" t="s">
        <v>170</v>
      </c>
      <c r="D59" s="2">
        <v>2</v>
      </c>
      <c r="E59" s="2" t="s">
        <v>64</v>
      </c>
      <c r="F59" s="3">
        <v>2.61</v>
      </c>
      <c r="G59" s="3">
        <v>15.35</v>
      </c>
      <c r="H59" s="2"/>
      <c r="I59" s="3">
        <v>12.87</v>
      </c>
      <c r="J59" s="2"/>
      <c r="K59" s="2"/>
    </row>
    <row r="60" spans="1:11" x14ac:dyDescent="0.2">
      <c r="A60" s="2" t="s">
        <v>152</v>
      </c>
      <c r="B60" s="2"/>
      <c r="C60" s="2" t="s">
        <v>170</v>
      </c>
      <c r="D60" s="2">
        <v>1</v>
      </c>
      <c r="E60" s="2" t="s">
        <v>65</v>
      </c>
      <c r="F60" s="3">
        <v>2.69</v>
      </c>
      <c r="G60" s="3">
        <v>14.45</v>
      </c>
      <c r="H60" s="2"/>
      <c r="I60" s="3">
        <v>11.84</v>
      </c>
      <c r="J60" s="2"/>
      <c r="K60" s="2"/>
    </row>
    <row r="61" spans="1:11" x14ac:dyDescent="0.2">
      <c r="A61" s="2" t="s">
        <v>153</v>
      </c>
      <c r="B61" s="2"/>
      <c r="C61" s="2" t="s">
        <v>170</v>
      </c>
      <c r="D61" s="2">
        <v>2</v>
      </c>
      <c r="E61" s="2" t="s">
        <v>65</v>
      </c>
      <c r="F61" s="3">
        <v>2.65</v>
      </c>
      <c r="G61" s="3">
        <v>15.06</v>
      </c>
      <c r="H61" s="2"/>
      <c r="I61" s="3">
        <v>12.29</v>
      </c>
      <c r="J61" s="2"/>
      <c r="K61" s="2"/>
    </row>
    <row r="62" spans="1:11" x14ac:dyDescent="0.2">
      <c r="A62" s="2" t="s">
        <v>154</v>
      </c>
      <c r="B62" s="2"/>
      <c r="C62" s="2" t="s">
        <v>170</v>
      </c>
      <c r="D62" s="2">
        <v>1</v>
      </c>
      <c r="E62" s="2" t="s">
        <v>66</v>
      </c>
      <c r="F62" s="3">
        <v>2.71</v>
      </c>
      <c r="G62" s="3">
        <v>14.35</v>
      </c>
      <c r="H62" s="2"/>
      <c r="I62" s="3">
        <v>11.74</v>
      </c>
      <c r="J62" s="2"/>
      <c r="K62" s="2"/>
    </row>
    <row r="63" spans="1:11" x14ac:dyDescent="0.2">
      <c r="A63" s="2" t="s">
        <v>155</v>
      </c>
      <c r="B63" s="2"/>
      <c r="C63" s="2" t="s">
        <v>170</v>
      </c>
      <c r="D63" s="2">
        <v>2</v>
      </c>
      <c r="E63" s="2" t="s">
        <v>66</v>
      </c>
      <c r="F63" s="3">
        <v>2.7</v>
      </c>
      <c r="G63" s="3">
        <v>15.57</v>
      </c>
      <c r="H63" s="2"/>
      <c r="I63" s="3">
        <v>12.68</v>
      </c>
      <c r="J63" s="2"/>
      <c r="K63" s="2"/>
    </row>
    <row r="64" spans="1:11" x14ac:dyDescent="0.2">
      <c r="A64" s="2" t="s">
        <v>156</v>
      </c>
      <c r="B64" s="2"/>
      <c r="C64" s="2" t="s">
        <v>170</v>
      </c>
      <c r="D64" s="2">
        <v>1</v>
      </c>
      <c r="E64" s="2" t="s">
        <v>67</v>
      </c>
      <c r="F64" s="3">
        <v>2.65</v>
      </c>
      <c r="G64" s="3">
        <v>14.21</v>
      </c>
      <c r="H64" s="2"/>
      <c r="I64" s="3">
        <v>11.68</v>
      </c>
      <c r="J64" s="2"/>
      <c r="K64" s="2"/>
    </row>
    <row r="65" spans="1:11" x14ac:dyDescent="0.2">
      <c r="A65" s="2" t="s">
        <v>157</v>
      </c>
      <c r="B65" s="2"/>
      <c r="C65" s="2" t="s">
        <v>170</v>
      </c>
      <c r="D65" s="2">
        <v>2</v>
      </c>
      <c r="E65" s="2" t="s">
        <v>67</v>
      </c>
      <c r="F65" s="3">
        <v>2.59</v>
      </c>
      <c r="G65" s="3">
        <v>15.3</v>
      </c>
      <c r="H65" s="2"/>
      <c r="I65" s="3">
        <v>12.45</v>
      </c>
      <c r="J65" s="2"/>
      <c r="K65" s="2"/>
    </row>
    <row r="66" spans="1:11" x14ac:dyDescent="0.2">
      <c r="A66" s="2" t="s">
        <v>158</v>
      </c>
      <c r="B66" s="2"/>
      <c r="C66" s="2" t="s">
        <v>170</v>
      </c>
      <c r="D66" s="2">
        <v>1</v>
      </c>
      <c r="E66" s="2" t="s">
        <v>68</v>
      </c>
      <c r="F66" s="3">
        <v>2.64</v>
      </c>
      <c r="G66" s="3">
        <v>15.2</v>
      </c>
      <c r="H66" s="2"/>
      <c r="I66" s="3">
        <v>12.77</v>
      </c>
      <c r="J66" s="2"/>
      <c r="K66" s="2"/>
    </row>
    <row r="67" spans="1:11" x14ac:dyDescent="0.2">
      <c r="A67" s="2" t="s">
        <v>159</v>
      </c>
      <c r="B67" s="2"/>
      <c r="C67" s="2" t="s">
        <v>170</v>
      </c>
      <c r="D67" s="2">
        <v>2</v>
      </c>
      <c r="E67" s="2" t="s">
        <v>68</v>
      </c>
      <c r="F67" s="3">
        <v>2.69</v>
      </c>
      <c r="G67" s="3">
        <v>14.73</v>
      </c>
      <c r="H67" s="2"/>
      <c r="I67" s="3">
        <v>12.41</v>
      </c>
      <c r="J67" s="2"/>
      <c r="K67" s="2"/>
    </row>
    <row r="68" spans="1:11" x14ac:dyDescent="0.2">
      <c r="A68" s="2" t="s">
        <v>160</v>
      </c>
      <c r="B68" s="2"/>
      <c r="C68" s="2" t="s">
        <v>170</v>
      </c>
      <c r="D68" s="2">
        <v>1</v>
      </c>
      <c r="E68" s="2" t="s">
        <v>69</v>
      </c>
      <c r="F68" s="3">
        <v>2.67</v>
      </c>
      <c r="G68" s="3">
        <v>14.32</v>
      </c>
      <c r="H68" s="2"/>
      <c r="I68" s="3">
        <v>12.34</v>
      </c>
      <c r="J68" s="2"/>
      <c r="K68" s="2"/>
    </row>
    <row r="69" spans="1:11" x14ac:dyDescent="0.2">
      <c r="A69" s="2" t="s">
        <v>161</v>
      </c>
      <c r="B69" s="2"/>
      <c r="C69" s="2" t="s">
        <v>170</v>
      </c>
      <c r="D69" s="2">
        <v>2</v>
      </c>
      <c r="E69" s="2" t="s">
        <v>69</v>
      </c>
      <c r="F69" s="3">
        <v>2.69</v>
      </c>
      <c r="G69" s="3">
        <v>15.55</v>
      </c>
      <c r="H69" s="2"/>
      <c r="I69" s="3">
        <v>13.38</v>
      </c>
      <c r="J69" s="2"/>
      <c r="K69" s="2"/>
    </row>
    <row r="70" spans="1:11" x14ac:dyDescent="0.2">
      <c r="A70" s="2" t="s">
        <v>162</v>
      </c>
      <c r="B70" s="2"/>
      <c r="C70" s="2" t="s">
        <v>170</v>
      </c>
      <c r="D70" s="2">
        <v>1</v>
      </c>
      <c r="E70" s="2" t="s">
        <v>70</v>
      </c>
      <c r="F70" s="3">
        <v>2.73</v>
      </c>
      <c r="G70" s="3">
        <v>15.55</v>
      </c>
      <c r="H70" s="2"/>
      <c r="I70" s="3">
        <v>12.98</v>
      </c>
      <c r="J70" s="2"/>
      <c r="K70" s="2"/>
    </row>
    <row r="71" spans="1:11" x14ac:dyDescent="0.2">
      <c r="A71" s="2" t="s">
        <v>163</v>
      </c>
      <c r="B71" s="2"/>
      <c r="C71" s="2" t="s">
        <v>170</v>
      </c>
      <c r="D71" s="2">
        <v>2</v>
      </c>
      <c r="E71" s="2" t="s">
        <v>70</v>
      </c>
      <c r="F71" s="3">
        <v>2.73</v>
      </c>
      <c r="G71" s="3">
        <v>14.34</v>
      </c>
      <c r="H71" s="2"/>
      <c r="I71" s="3">
        <v>12.02</v>
      </c>
      <c r="J71" s="2"/>
      <c r="K71" s="2"/>
    </row>
    <row r="72" spans="1:11" x14ac:dyDescent="0.2">
      <c r="A72" s="2" t="s">
        <v>164</v>
      </c>
      <c r="B72" s="2"/>
      <c r="C72" s="2" t="s">
        <v>170</v>
      </c>
      <c r="D72" s="2">
        <v>1</v>
      </c>
      <c r="E72" s="2" t="s">
        <v>71</v>
      </c>
      <c r="F72" s="3">
        <v>2.75</v>
      </c>
      <c r="G72" s="3">
        <v>15.53</v>
      </c>
      <c r="H72" s="2"/>
      <c r="I72" s="3">
        <v>13.01</v>
      </c>
      <c r="J72" s="2"/>
      <c r="K72" s="2"/>
    </row>
    <row r="73" spans="1:11" x14ac:dyDescent="0.2">
      <c r="A73" s="2" t="s">
        <v>165</v>
      </c>
      <c r="B73" s="2"/>
      <c r="C73" s="2" t="s">
        <v>170</v>
      </c>
      <c r="D73" s="2">
        <v>2</v>
      </c>
      <c r="E73" s="2" t="s">
        <v>71</v>
      </c>
      <c r="F73" s="3">
        <v>2.73</v>
      </c>
      <c r="G73" s="3">
        <v>15.83</v>
      </c>
      <c r="H73" s="2"/>
      <c r="I73" s="3">
        <v>13.23</v>
      </c>
      <c r="J73" s="2"/>
      <c r="K73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446B1-FAED-1D4A-8EC9-22E0992AE038}">
  <dimension ref="A1:K73"/>
  <sheetViews>
    <sheetView tabSelected="1" workbookViewId="0">
      <pane ySplit="1" topLeftCell="A45" activePane="bottomLeft" state="frozen"/>
      <selection pane="bottomLeft" activeCell="M56" sqref="M56"/>
    </sheetView>
  </sheetViews>
  <sheetFormatPr baseColWidth="10" defaultRowHeight="16" x14ac:dyDescent="0.2"/>
  <cols>
    <col min="1" max="5" width="13.5" customWidth="1"/>
    <col min="6" max="6" width="15.83203125" style="1" customWidth="1"/>
    <col min="7" max="7" width="18.1640625" style="1" customWidth="1"/>
    <col min="9" max="9" width="17.5" style="1" customWidth="1"/>
  </cols>
  <sheetData>
    <row r="1" spans="1:11" x14ac:dyDescent="0.2">
      <c r="A1" t="s">
        <v>0</v>
      </c>
      <c r="B1" t="s">
        <v>90</v>
      </c>
      <c r="C1" t="s">
        <v>91</v>
      </c>
      <c r="D1" t="s">
        <v>92</v>
      </c>
      <c r="E1" t="s">
        <v>93</v>
      </c>
      <c r="F1" s="1" t="s">
        <v>1</v>
      </c>
      <c r="G1" s="1" t="s">
        <v>2</v>
      </c>
      <c r="H1" t="s">
        <v>4</v>
      </c>
      <c r="I1" s="1" t="s">
        <v>3</v>
      </c>
      <c r="J1" t="s">
        <v>5</v>
      </c>
      <c r="K1" t="s">
        <v>60</v>
      </c>
    </row>
    <row r="2" spans="1:11" x14ac:dyDescent="0.2">
      <c r="A2" t="s">
        <v>94</v>
      </c>
      <c r="C2" t="str" cm="1">
        <f t="array" ref="C2">_xlfn.IFS(
ISNUMBER(SEARCH("IV*",A2)),"IV",
ISNUMBER(SEARCH("III*",A2)),"III",
ISNUMBER(SEARCH("II*",A2)),"II",
ISNUMBER(SEARCH("I*",A2)),"I")</f>
        <v>III</v>
      </c>
      <c r="D2" cm="1">
        <f t="array" ref="D2">_xlfn.IFS(
ISNUMBER(SEARCH("-1*",A2)),1,
ISNUMBER(SEARCH("-2*",A2)),2)</f>
        <v>1</v>
      </c>
      <c r="E2" t="str" cm="1">
        <f t="array" ref="E2">_xlfn.IFS(
ISNUMBER(SEARCH("AUHV*",A2)),"AUHV",
ISNUMBER(SEARCH("BWW*",A2)),"BWW",
ISNUMBER(SEARCH("C1*",A2)),"C1",
ISNUMBER(SEARCH("C2*",A2)),"C2",
ISNUMBER(SEARCH("ORG*",A2)),"ORG",
ISNUMBER(SEARCH("PRY*",A2)),"PRY",
ISNUMBER(SEARCH("RCL*",A2)),"RCL",
ISNUMBER(SEARCH("SWW*",A2)),"SWW",
ISNUMBER(SEARCH("MNHV*",A2)),"MNHV")</f>
        <v>AUHV</v>
      </c>
      <c r="F2" s="1">
        <v>2.46</v>
      </c>
      <c r="G2" s="1">
        <v>27.07</v>
      </c>
      <c r="I2" s="1">
        <v>22.96</v>
      </c>
    </row>
    <row r="3" spans="1:11" x14ac:dyDescent="0.2">
      <c r="A3" t="s">
        <v>95</v>
      </c>
      <c r="C3" t="str" cm="1">
        <f t="array" ref="C3">_xlfn.IFS(
ISNUMBER(SEARCH("IV*",A3)),"IV",
ISNUMBER(SEARCH("III*",A3)),"III",
ISNUMBER(SEARCH("II*",A3)),"II",
ISNUMBER(SEARCH("I*",A3)),"I")</f>
        <v>III</v>
      </c>
      <c r="D3" cm="1">
        <f t="array" ref="D3">_xlfn.IFS(
ISNUMBER(SEARCH("-1*",A3)),1,
ISNUMBER(SEARCH("-2*",A3)),2)</f>
        <v>2</v>
      </c>
      <c r="E3" t="str" cm="1">
        <f t="array" ref="E3">_xlfn.IFS(
ISNUMBER(SEARCH("AUHV*",A3)),"AUHV",
ISNUMBER(SEARCH("BWW*",A3)),"BWW",
ISNUMBER(SEARCH("C1*",A3)),"C1",
ISNUMBER(SEARCH("C2*",A3)),"C2",
ISNUMBER(SEARCH("ORG*",A3)),"ORG",
ISNUMBER(SEARCH("PRY*",A3)),"PRY",
ISNUMBER(SEARCH("RCL*",A3)),"RCL",
ISNUMBER(SEARCH("SWW*",A3)),"SWW",
ISNUMBER(SEARCH("MNHV*",A3)),"MNHV")</f>
        <v>AUHV</v>
      </c>
      <c r="F3" s="1">
        <v>2.59</v>
      </c>
      <c r="G3" s="1">
        <v>25.01</v>
      </c>
      <c r="I3" s="1">
        <v>21.2</v>
      </c>
    </row>
    <row r="4" spans="1:11" x14ac:dyDescent="0.2">
      <c r="A4" t="s">
        <v>96</v>
      </c>
      <c r="C4" t="str" cm="1">
        <f t="array" ref="C4">_xlfn.IFS(
ISNUMBER(SEARCH("IV*",A4)),"IV",
ISNUMBER(SEARCH("III*",A4)),"III",
ISNUMBER(SEARCH("II*",A4)),"II",
ISNUMBER(SEARCH("I*",A4)),"I")</f>
        <v>III</v>
      </c>
      <c r="D4" cm="1">
        <f t="array" ref="D4">_xlfn.IFS(
ISNUMBER(SEARCH("-1*",A4)),1,
ISNUMBER(SEARCH("-2*",A4)),2)</f>
        <v>1</v>
      </c>
      <c r="E4" t="str" cm="1">
        <f t="array" ref="E4">_xlfn.IFS(
ISNUMBER(SEARCH("AUHV*",A4)),"AUHV",
ISNUMBER(SEARCH("BWW*",A4)),"BWW",
ISNUMBER(SEARCH("C1*",A4)),"C1",
ISNUMBER(SEARCH("C2*",A4)),"C2",
ISNUMBER(SEARCH("ORG*",A4)),"ORG",
ISNUMBER(SEARCH("PRY*",A4)),"PRY",
ISNUMBER(SEARCH("RCL*",A4)),"RCL",
ISNUMBER(SEARCH("SWW*",A4)),"SWW",
ISNUMBER(SEARCH("MNHV*",A4)),"MNHV")</f>
        <v>BWW</v>
      </c>
      <c r="F4" s="1">
        <v>2.68</v>
      </c>
      <c r="G4" s="1">
        <v>27.13</v>
      </c>
      <c r="I4" s="1">
        <v>21.81</v>
      </c>
    </row>
    <row r="5" spans="1:11" x14ac:dyDescent="0.2">
      <c r="A5" t="s">
        <v>97</v>
      </c>
      <c r="C5" t="str" cm="1">
        <f t="array" ref="C5">_xlfn.IFS(
ISNUMBER(SEARCH("IV*",A5)),"IV",
ISNUMBER(SEARCH("III*",A5)),"III",
ISNUMBER(SEARCH("II*",A5)),"II",
ISNUMBER(SEARCH("I*",A5)),"I")</f>
        <v>III</v>
      </c>
      <c r="D5" cm="1">
        <f t="array" ref="D5">_xlfn.IFS(
ISNUMBER(SEARCH("-1*",A5)),1,
ISNUMBER(SEARCH("-2*",A5)),2)</f>
        <v>2</v>
      </c>
      <c r="E5" t="str" cm="1">
        <f t="array" ref="E5">_xlfn.IFS(
ISNUMBER(SEARCH("AUHV*",A5)),"AUHV",
ISNUMBER(SEARCH("BWW*",A5)),"BWW",
ISNUMBER(SEARCH("C1*",A5)),"C1",
ISNUMBER(SEARCH("C2*",A5)),"C2",
ISNUMBER(SEARCH("ORG*",A5)),"ORG",
ISNUMBER(SEARCH("PRY*",A5)),"PRY",
ISNUMBER(SEARCH("RCL*",A5)),"RCL",
ISNUMBER(SEARCH("SWW*",A5)),"SWW",
ISNUMBER(SEARCH("MNHV*",A5)),"MNHV")</f>
        <v>BWW</v>
      </c>
      <c r="F5" s="1">
        <v>2.7</v>
      </c>
      <c r="G5" s="1">
        <v>25.77</v>
      </c>
      <c r="I5" s="1">
        <v>21.35</v>
      </c>
    </row>
    <row r="6" spans="1:11" x14ac:dyDescent="0.2">
      <c r="A6" t="s">
        <v>98</v>
      </c>
      <c r="C6" t="str" cm="1">
        <f t="array" ref="C6">_xlfn.IFS(
ISNUMBER(SEARCH("IV*",A6)),"IV",
ISNUMBER(SEARCH("III*",A6)),"III",
ISNUMBER(SEARCH("II*",A6)),"II",
ISNUMBER(SEARCH("I*",A6)),"I")</f>
        <v>III</v>
      </c>
      <c r="D6" cm="1">
        <f t="array" ref="D6">_xlfn.IFS(
ISNUMBER(SEARCH("-1*",A6)),1,
ISNUMBER(SEARCH("-2*",A6)),2)</f>
        <v>1</v>
      </c>
      <c r="E6" t="str" cm="1">
        <f t="array" ref="E6">_xlfn.IFS(
ISNUMBER(SEARCH("AUHV*",A6)),"AUHV",
ISNUMBER(SEARCH("BWW*",A6)),"BWW",
ISNUMBER(SEARCH("C1*",A6)),"C1",
ISNUMBER(SEARCH("C2*",A6)),"C2",
ISNUMBER(SEARCH("ORG*",A6)),"ORG",
ISNUMBER(SEARCH("PRY*",A6)),"PRY",
ISNUMBER(SEARCH("RCL*",A6)),"RCL",
ISNUMBER(SEARCH("SWW*",A6)),"SWW",
ISNUMBER(SEARCH("MNHV*",A6)),"MNHV")</f>
        <v>C1</v>
      </c>
    </row>
    <row r="7" spans="1:11" x14ac:dyDescent="0.2">
      <c r="A7" t="s">
        <v>99</v>
      </c>
      <c r="C7" t="str" cm="1">
        <f t="array" ref="C7">_xlfn.IFS(
ISNUMBER(SEARCH("IV*",A7)),"IV",
ISNUMBER(SEARCH("III*",A7)),"III",
ISNUMBER(SEARCH("II*",A7)),"II",
ISNUMBER(SEARCH("I*",A7)),"I")</f>
        <v>III</v>
      </c>
      <c r="D7" cm="1">
        <f t="array" ref="D7">_xlfn.IFS(
ISNUMBER(SEARCH("-1*",A7)),1,
ISNUMBER(SEARCH("-2*",A7)),2)</f>
        <v>2</v>
      </c>
      <c r="E7" t="str" cm="1">
        <f t="array" ref="E7">_xlfn.IFS(
ISNUMBER(SEARCH("AUHV*",A7)),"AUHV",
ISNUMBER(SEARCH("BWW*",A7)),"BWW",
ISNUMBER(SEARCH("C1*",A7)),"C1",
ISNUMBER(SEARCH("C2*",A7)),"C2",
ISNUMBER(SEARCH("ORG*",A7)),"ORG",
ISNUMBER(SEARCH("PRY*",A7)),"PRY",
ISNUMBER(SEARCH("RCL*",A7)),"RCL",
ISNUMBER(SEARCH("SWW*",A7)),"SWW",
ISNUMBER(SEARCH("MNHV*",A7)),"MNHV")</f>
        <v>C1</v>
      </c>
    </row>
    <row r="8" spans="1:11" x14ac:dyDescent="0.2">
      <c r="A8" t="s">
        <v>100</v>
      </c>
      <c r="C8" t="str" cm="1">
        <f t="array" ref="C8">_xlfn.IFS(
ISNUMBER(SEARCH("IV*",A8)),"IV",
ISNUMBER(SEARCH("III*",A8)),"III",
ISNUMBER(SEARCH("II*",A8)),"II",
ISNUMBER(SEARCH("I*",A8)),"I")</f>
        <v>III</v>
      </c>
      <c r="D8" cm="1">
        <f t="array" ref="D8">_xlfn.IFS(
ISNUMBER(SEARCH("-1*",A8)),1,
ISNUMBER(SEARCH("-2*",A8)),2)</f>
        <v>1</v>
      </c>
      <c r="E8" t="str" cm="1">
        <f t="array" ref="E8">_xlfn.IFS(
ISNUMBER(SEARCH("AUHV*",A8)),"AUHV",
ISNUMBER(SEARCH("BWW*",A8)),"BWW",
ISNUMBER(SEARCH("C1*",A8)),"C1",
ISNUMBER(SEARCH("C2*",A8)),"C2",
ISNUMBER(SEARCH("ORG*",A8)),"ORG",
ISNUMBER(SEARCH("PRY*",A8)),"PRY",
ISNUMBER(SEARCH("RCL*",A8)),"RCL",
ISNUMBER(SEARCH("SWW*",A8)),"SWW",
ISNUMBER(SEARCH("MNHV*",A8)),"MNHV")</f>
        <v>C2</v>
      </c>
    </row>
    <row r="9" spans="1:11" x14ac:dyDescent="0.2">
      <c r="A9" t="s">
        <v>101</v>
      </c>
      <c r="C9" t="str" cm="1">
        <f t="array" ref="C9">_xlfn.IFS(
ISNUMBER(SEARCH("IV*",A9)),"IV",
ISNUMBER(SEARCH("III*",A9)),"III",
ISNUMBER(SEARCH("II*",A9)),"II",
ISNUMBER(SEARCH("I*",A9)),"I")</f>
        <v>III</v>
      </c>
      <c r="D9" cm="1">
        <f t="array" ref="D9">_xlfn.IFS(
ISNUMBER(SEARCH("-1*",A9)),1,
ISNUMBER(SEARCH("-2*",A9)),2)</f>
        <v>2</v>
      </c>
      <c r="E9" t="str" cm="1">
        <f t="array" ref="E9">_xlfn.IFS(
ISNUMBER(SEARCH("AUHV*",A9)),"AUHV",
ISNUMBER(SEARCH("BWW*",A9)),"BWW",
ISNUMBER(SEARCH("C1*",A9)),"C1",
ISNUMBER(SEARCH("C2*",A9)),"C2",
ISNUMBER(SEARCH("ORG*",A9)),"ORG",
ISNUMBER(SEARCH("PRY*",A9)),"PRY",
ISNUMBER(SEARCH("RCL*",A9)),"RCL",
ISNUMBER(SEARCH("SWW*",A9)),"SWW",
ISNUMBER(SEARCH("MNHV*",A9)),"MNHV")</f>
        <v>C2</v>
      </c>
    </row>
    <row r="10" spans="1:11" x14ac:dyDescent="0.2">
      <c r="A10" t="s">
        <v>102</v>
      </c>
      <c r="C10" t="str" cm="1">
        <f t="array" ref="C10">_xlfn.IFS(
ISNUMBER(SEARCH("IV*",A10)),"IV",
ISNUMBER(SEARCH("III*",A10)),"III",
ISNUMBER(SEARCH("II*",A10)),"II",
ISNUMBER(SEARCH("I*",A10)),"I")</f>
        <v>III</v>
      </c>
      <c r="D10" cm="1">
        <f t="array" ref="D10">_xlfn.IFS(
ISNUMBER(SEARCH("-1*",A10)),1,
ISNUMBER(SEARCH("-2*",A10)),2)</f>
        <v>1</v>
      </c>
      <c r="E10" t="str" cm="1">
        <f t="array" ref="E10">_xlfn.IFS(
ISNUMBER(SEARCH("AUHV*",A10)),"AUHV",
ISNUMBER(SEARCH("BWW*",A10)),"BWW",
ISNUMBER(SEARCH("C1*",A10)),"C1",
ISNUMBER(SEARCH("C2*",A10)),"C2",
ISNUMBER(SEARCH("ORG*",A10)),"ORG",
ISNUMBER(SEARCH("PRY*",A10)),"PRY",
ISNUMBER(SEARCH("RCL*",A10)),"RCL",
ISNUMBER(SEARCH("SWW*",A10)),"SWW",
ISNUMBER(SEARCH("MNHV*",A10)),"MNHV")</f>
        <v>MNHV</v>
      </c>
      <c r="F10" s="1">
        <v>2.46</v>
      </c>
      <c r="G10" s="1">
        <v>28.37</v>
      </c>
      <c r="I10" s="1">
        <v>23.6</v>
      </c>
    </row>
    <row r="11" spans="1:11" x14ac:dyDescent="0.2">
      <c r="A11" t="s">
        <v>103</v>
      </c>
      <c r="C11" t="str" cm="1">
        <f t="array" ref="C11">_xlfn.IFS(
ISNUMBER(SEARCH("IV*",A11)),"IV",
ISNUMBER(SEARCH("III*",A11)),"III",
ISNUMBER(SEARCH("II*",A11)),"II",
ISNUMBER(SEARCH("I*",A11)),"I")</f>
        <v>III</v>
      </c>
      <c r="D11" cm="1">
        <f t="array" ref="D11">_xlfn.IFS(
ISNUMBER(SEARCH("-1*",A11)),1,
ISNUMBER(SEARCH("-2*",A11)),2)</f>
        <v>2</v>
      </c>
      <c r="E11" t="str" cm="1">
        <f t="array" ref="E11">_xlfn.IFS(
ISNUMBER(SEARCH("AUHV*",A11)),"AUHV",
ISNUMBER(SEARCH("BWW*",A11)),"BWW",
ISNUMBER(SEARCH("C1*",A11)),"C1",
ISNUMBER(SEARCH("C2*",A11)),"C2",
ISNUMBER(SEARCH("ORG*",A11)),"ORG",
ISNUMBER(SEARCH("PRY*",A11)),"PRY",
ISNUMBER(SEARCH("RCL*",A11)),"RCL",
ISNUMBER(SEARCH("SWW*",A11)),"SWW",
ISNUMBER(SEARCH("MNHV*",A11)),"MNHV")</f>
        <v>MNHV</v>
      </c>
      <c r="F11" s="1">
        <v>2.63</v>
      </c>
      <c r="G11" s="1">
        <v>25.92</v>
      </c>
      <c r="I11" s="1">
        <v>21.93</v>
      </c>
    </row>
    <row r="12" spans="1:11" x14ac:dyDescent="0.2">
      <c r="A12" t="s">
        <v>104</v>
      </c>
      <c r="C12" t="str" cm="1">
        <f t="array" ref="C12">_xlfn.IFS(
ISNUMBER(SEARCH("IV*",A12)),"IV",
ISNUMBER(SEARCH("III*",A12)),"III",
ISNUMBER(SEARCH("II*",A12)),"II",
ISNUMBER(SEARCH("I*",A12)),"I")</f>
        <v>III</v>
      </c>
      <c r="D12" cm="1">
        <f t="array" ref="D12">_xlfn.IFS(
ISNUMBER(SEARCH("-1*",A12)),1,
ISNUMBER(SEARCH("-2*",A12)),2)</f>
        <v>1</v>
      </c>
      <c r="E12" t="str" cm="1">
        <f t="array" ref="E12">_xlfn.IFS(
ISNUMBER(SEARCH("AUHV*",A12)),"AUHV",
ISNUMBER(SEARCH("BWW*",A12)),"BWW",
ISNUMBER(SEARCH("C1*",A12)),"C1",
ISNUMBER(SEARCH("C2*",A12)),"C2",
ISNUMBER(SEARCH("ORG*",A12)),"ORG",
ISNUMBER(SEARCH("PRY*",A12)),"PRY",
ISNUMBER(SEARCH("RCL*",A12)),"RCL",
ISNUMBER(SEARCH("SWW*",A12)),"SWW",
ISNUMBER(SEARCH("MNHV*",A12)),"MNHV")</f>
        <v>ORG</v>
      </c>
      <c r="F12" s="1">
        <v>2.64</v>
      </c>
      <c r="G12" s="1">
        <v>26.06</v>
      </c>
      <c r="I12" s="1">
        <v>22.12</v>
      </c>
    </row>
    <row r="13" spans="1:11" x14ac:dyDescent="0.2">
      <c r="A13" t="s">
        <v>105</v>
      </c>
      <c r="C13" t="str" cm="1">
        <f t="array" ref="C13">_xlfn.IFS(
ISNUMBER(SEARCH("IV*",A13)),"IV",
ISNUMBER(SEARCH("III*",A13)),"III",
ISNUMBER(SEARCH("II*",A13)),"II",
ISNUMBER(SEARCH("I*",A13)),"I")</f>
        <v>III</v>
      </c>
      <c r="D13" cm="1">
        <f t="array" ref="D13">_xlfn.IFS(
ISNUMBER(SEARCH("-1*",A13)),1,
ISNUMBER(SEARCH("-2*",A13)),2)</f>
        <v>2</v>
      </c>
      <c r="E13" t="str" cm="1">
        <f t="array" ref="E13">_xlfn.IFS(
ISNUMBER(SEARCH("AUHV*",A13)),"AUHV",
ISNUMBER(SEARCH("BWW*",A13)),"BWW",
ISNUMBER(SEARCH("C1*",A13)),"C1",
ISNUMBER(SEARCH("C2*",A13)),"C2",
ISNUMBER(SEARCH("ORG*",A13)),"ORG",
ISNUMBER(SEARCH("PRY*",A13)),"PRY",
ISNUMBER(SEARCH("RCL*",A13)),"RCL",
ISNUMBER(SEARCH("SWW*",A13)),"SWW",
ISNUMBER(SEARCH("MNHV*",A13)),"MNHV")</f>
        <v>ORG</v>
      </c>
      <c r="F13" s="1">
        <v>2.62</v>
      </c>
      <c r="G13" s="1">
        <v>25.22</v>
      </c>
      <c r="I13" s="1">
        <v>21.58</v>
      </c>
    </row>
    <row r="14" spans="1:11" x14ac:dyDescent="0.2">
      <c r="A14" t="s">
        <v>106</v>
      </c>
      <c r="C14" t="str" cm="1">
        <f t="array" ref="C14">_xlfn.IFS(
ISNUMBER(SEARCH("IV*",A14)),"IV",
ISNUMBER(SEARCH("III*",A14)),"III",
ISNUMBER(SEARCH("II*",A14)),"II",
ISNUMBER(SEARCH("I*",A14)),"I")</f>
        <v>III</v>
      </c>
      <c r="D14" cm="1">
        <f t="array" ref="D14">_xlfn.IFS(
ISNUMBER(SEARCH("-1*",A14)),1,
ISNUMBER(SEARCH("-2*",A14)),2)</f>
        <v>1</v>
      </c>
      <c r="E14" t="str" cm="1">
        <f t="array" ref="E14">_xlfn.IFS(
ISNUMBER(SEARCH("AUHV*",A14)),"AUHV",
ISNUMBER(SEARCH("BWW*",A14)),"BWW",
ISNUMBER(SEARCH("C1*",A14)),"C1",
ISNUMBER(SEARCH("C2*",A14)),"C2",
ISNUMBER(SEARCH("ORG*",A14)),"ORG",
ISNUMBER(SEARCH("PRY*",A14)),"PRY",
ISNUMBER(SEARCH("RCL*",A14)),"RCL",
ISNUMBER(SEARCH("SWW*",A14)),"SWW",
ISNUMBER(SEARCH("MNHV*",A14)),"MNHV")</f>
        <v>PRY</v>
      </c>
      <c r="F14" s="1">
        <v>2.61</v>
      </c>
      <c r="G14" s="1">
        <v>26.46</v>
      </c>
      <c r="I14" s="1">
        <v>22.16</v>
      </c>
    </row>
    <row r="15" spans="1:11" x14ac:dyDescent="0.2">
      <c r="A15" t="s">
        <v>107</v>
      </c>
      <c r="C15" t="str" cm="1">
        <f t="array" ref="C15">_xlfn.IFS(
ISNUMBER(SEARCH("IV*",A15)),"IV",
ISNUMBER(SEARCH("III*",A15)),"III",
ISNUMBER(SEARCH("II*",A15)),"II",
ISNUMBER(SEARCH("I*",A15)),"I")</f>
        <v>III</v>
      </c>
      <c r="D15" cm="1">
        <f t="array" ref="D15">_xlfn.IFS(
ISNUMBER(SEARCH("-1*",A15)),1,
ISNUMBER(SEARCH("-2*",A15)),2)</f>
        <v>2</v>
      </c>
      <c r="E15" t="str" cm="1">
        <f t="array" ref="E15">_xlfn.IFS(
ISNUMBER(SEARCH("AUHV*",A15)),"AUHV",
ISNUMBER(SEARCH("BWW*",A15)),"BWW",
ISNUMBER(SEARCH("C1*",A15)),"C1",
ISNUMBER(SEARCH("C2*",A15)),"C2",
ISNUMBER(SEARCH("ORG*",A15)),"ORG",
ISNUMBER(SEARCH("PRY*",A15)),"PRY",
ISNUMBER(SEARCH("RCL*",A15)),"RCL",
ISNUMBER(SEARCH("SWW*",A15)),"SWW",
ISNUMBER(SEARCH("MNHV*",A15)),"MNHV")</f>
        <v>PRY</v>
      </c>
      <c r="F15" s="1">
        <v>2.72</v>
      </c>
      <c r="G15" s="1">
        <v>25.85</v>
      </c>
      <c r="I15" s="1">
        <v>21.72</v>
      </c>
    </row>
    <row r="16" spans="1:11" x14ac:dyDescent="0.2">
      <c r="A16" t="s">
        <v>108</v>
      </c>
      <c r="C16" t="str" cm="1">
        <f t="array" ref="C16">_xlfn.IFS(
ISNUMBER(SEARCH("IV*",A16)),"IV",
ISNUMBER(SEARCH("III*",A16)),"III",
ISNUMBER(SEARCH("II*",A16)),"II",
ISNUMBER(SEARCH("I*",A16)),"I")</f>
        <v>III</v>
      </c>
      <c r="D16" cm="1">
        <f t="array" ref="D16">_xlfn.IFS(
ISNUMBER(SEARCH("-1*",A16)),1,
ISNUMBER(SEARCH("-2*",A16)),2)</f>
        <v>1</v>
      </c>
      <c r="E16" t="str" cm="1">
        <f t="array" ref="E16">_xlfn.IFS(
ISNUMBER(SEARCH("AUHV*",A16)),"AUHV",
ISNUMBER(SEARCH("BWW*",A16)),"BWW",
ISNUMBER(SEARCH("C1*",A16)),"C1",
ISNUMBER(SEARCH("C2*",A16)),"C2",
ISNUMBER(SEARCH("ORG*",A16)),"ORG",
ISNUMBER(SEARCH("PRY*",A16)),"PRY",
ISNUMBER(SEARCH("RCL*",A16)),"RCL",
ISNUMBER(SEARCH("SWW*",A16)),"SWW",
ISNUMBER(SEARCH("MNHV*",A16)),"MNHV")</f>
        <v>RCL</v>
      </c>
      <c r="F16" s="1">
        <v>2.77</v>
      </c>
      <c r="G16" s="1">
        <v>29.39</v>
      </c>
      <c r="I16" s="1">
        <v>24.01</v>
      </c>
    </row>
    <row r="17" spans="1:9" x14ac:dyDescent="0.2">
      <c r="A17" t="s">
        <v>109</v>
      </c>
      <c r="C17" t="str" cm="1">
        <f t="array" ref="C17">_xlfn.IFS(
ISNUMBER(SEARCH("IV*",A17)),"IV",
ISNUMBER(SEARCH("III*",A17)),"III",
ISNUMBER(SEARCH("II*",A17)),"II",
ISNUMBER(SEARCH("I*",A17)),"I")</f>
        <v>III</v>
      </c>
      <c r="D17" cm="1">
        <f t="array" ref="D17">_xlfn.IFS(
ISNUMBER(SEARCH("-1*",A17)),1,
ISNUMBER(SEARCH("-2*",A17)),2)</f>
        <v>2</v>
      </c>
      <c r="E17" t="str" cm="1">
        <f t="array" ref="E17">_xlfn.IFS(
ISNUMBER(SEARCH("AUHV*",A17)),"AUHV",
ISNUMBER(SEARCH("BWW*",A17)),"BWW",
ISNUMBER(SEARCH("C1*",A17)),"C1",
ISNUMBER(SEARCH("C2*",A17)),"C2",
ISNUMBER(SEARCH("ORG*",A17)),"ORG",
ISNUMBER(SEARCH("PRY*",A17)),"PRY",
ISNUMBER(SEARCH("RCL*",A17)),"RCL",
ISNUMBER(SEARCH("SWW*",A17)),"SWW",
ISNUMBER(SEARCH("MNHV*",A17)),"MNHV")</f>
        <v>RCL</v>
      </c>
      <c r="F17" s="1">
        <v>2.76</v>
      </c>
      <c r="G17" s="1">
        <v>29.05</v>
      </c>
      <c r="I17" s="1">
        <v>23.65</v>
      </c>
    </row>
    <row r="18" spans="1:9" x14ac:dyDescent="0.2">
      <c r="A18" t="s">
        <v>110</v>
      </c>
      <c r="C18" t="str" cm="1">
        <f t="array" ref="C18">_xlfn.IFS(
ISNUMBER(SEARCH("IV*",A18)),"IV",
ISNUMBER(SEARCH("III*",A18)),"III",
ISNUMBER(SEARCH("II*",A18)),"II",
ISNUMBER(SEARCH("I*",A18)),"I")</f>
        <v>III</v>
      </c>
      <c r="D18" cm="1">
        <f t="array" ref="D18">_xlfn.IFS(
ISNUMBER(SEARCH("-1*",A18)),1,
ISNUMBER(SEARCH("-2*",A18)),2)</f>
        <v>1</v>
      </c>
      <c r="E18" t="str" cm="1">
        <f t="array" ref="E18">_xlfn.IFS(
ISNUMBER(SEARCH("AUHV*",A18)),"AUHV",
ISNUMBER(SEARCH("BWW*",A18)),"BWW",
ISNUMBER(SEARCH("C1*",A18)),"C1",
ISNUMBER(SEARCH("C2*",A18)),"C2",
ISNUMBER(SEARCH("ORG*",A18)),"ORG",
ISNUMBER(SEARCH("PRY*",A18)),"PRY",
ISNUMBER(SEARCH("RCL*",A18)),"RCL",
ISNUMBER(SEARCH("SWW*",A18)),"SWW",
ISNUMBER(SEARCH("MNHV*",A18)),"MNHV")</f>
        <v>SWW</v>
      </c>
      <c r="F18" s="1">
        <v>2.7</v>
      </c>
      <c r="G18" s="1">
        <v>25.75</v>
      </c>
      <c r="I18" s="1">
        <v>21.23</v>
      </c>
    </row>
    <row r="19" spans="1:9" x14ac:dyDescent="0.2">
      <c r="A19" t="s">
        <v>111</v>
      </c>
      <c r="C19" t="str" cm="1">
        <f t="array" ref="C19">_xlfn.IFS(
ISNUMBER(SEARCH("IV*",A19)),"IV",
ISNUMBER(SEARCH("III*",A19)),"III",
ISNUMBER(SEARCH("II*",A19)),"II",
ISNUMBER(SEARCH("I*",A19)),"I")</f>
        <v>III</v>
      </c>
      <c r="D19" cm="1">
        <f t="array" ref="D19">_xlfn.IFS(
ISNUMBER(SEARCH("-1*",A19)),1,
ISNUMBER(SEARCH("-2*",A19)),2)</f>
        <v>2</v>
      </c>
      <c r="E19" t="str" cm="1">
        <f t="array" ref="E19">_xlfn.IFS(
ISNUMBER(SEARCH("AUHV*",A19)),"AUHV",
ISNUMBER(SEARCH("BWW*",A19)),"BWW",
ISNUMBER(SEARCH("C1*",A19)),"C1",
ISNUMBER(SEARCH("C2*",A19)),"C2",
ISNUMBER(SEARCH("ORG*",A19)),"ORG",
ISNUMBER(SEARCH("PRY*",A19)),"PRY",
ISNUMBER(SEARCH("RCL*",A19)),"RCL",
ISNUMBER(SEARCH("SWW*",A19)),"SWW",
ISNUMBER(SEARCH("MNHV*",A19)),"MNHV")</f>
        <v>SWW</v>
      </c>
      <c r="F19" s="1">
        <v>2.69</v>
      </c>
      <c r="G19" s="1">
        <v>26.58</v>
      </c>
      <c r="I19" s="1">
        <v>21.44</v>
      </c>
    </row>
    <row r="20" spans="1:9" x14ac:dyDescent="0.2">
      <c r="A20" t="s">
        <v>112</v>
      </c>
      <c r="C20" t="str" cm="1">
        <f t="array" ref="C20">_xlfn.IFS(
ISNUMBER(SEARCH("IV*",A20)),"IV",
ISNUMBER(SEARCH("III*",A20)),"III",
ISNUMBER(SEARCH("II*",A20)),"II",
ISNUMBER(SEARCH("I*",A20)),"I")</f>
        <v>I</v>
      </c>
      <c r="D20" cm="1">
        <f t="array" ref="D20">_xlfn.IFS(
ISNUMBER(SEARCH("-1*",A20)),1,
ISNUMBER(SEARCH("-2*",A20)),2)</f>
        <v>1</v>
      </c>
      <c r="E20" t="str" cm="1">
        <f t="array" ref="E20">_xlfn.IFS(
ISNUMBER(SEARCH("AUHV*",A20)),"AUHV",
ISNUMBER(SEARCH("BWW*",A20)),"BWW",
ISNUMBER(SEARCH("C1*",A20)),"C1",
ISNUMBER(SEARCH("C2*",A20)),"C2",
ISNUMBER(SEARCH("ORG*",A20)),"ORG",
ISNUMBER(SEARCH("PRY*",A20)),"PRY",
ISNUMBER(SEARCH("RCL*",A20)),"RCL",
ISNUMBER(SEARCH("SWW*",A20)),"SWW",
ISNUMBER(SEARCH("MNHV*",A20)),"MNHV")</f>
        <v>AUHV</v>
      </c>
      <c r="F20" s="1">
        <v>2.48</v>
      </c>
      <c r="G20" s="1">
        <v>24.7</v>
      </c>
      <c r="I20" s="1">
        <v>21.91</v>
      </c>
    </row>
    <row r="21" spans="1:9" x14ac:dyDescent="0.2">
      <c r="A21" t="s">
        <v>113</v>
      </c>
      <c r="C21" t="str" cm="1">
        <f t="array" ref="C21">_xlfn.IFS(
ISNUMBER(SEARCH("IV*",A21)),"IV",
ISNUMBER(SEARCH("III*",A21)),"III",
ISNUMBER(SEARCH("II*",A21)),"II",
ISNUMBER(SEARCH("I*",A21)),"I")</f>
        <v>I</v>
      </c>
      <c r="D21" cm="1">
        <f t="array" ref="D21">_xlfn.IFS(
ISNUMBER(SEARCH("-1*",A21)),1,
ISNUMBER(SEARCH("-2*",A21)),2)</f>
        <v>2</v>
      </c>
      <c r="E21" t="str" cm="1">
        <f t="array" ref="E21">_xlfn.IFS(
ISNUMBER(SEARCH("AUHV*",A21)),"AUHV",
ISNUMBER(SEARCH("BWW*",A21)),"BWW",
ISNUMBER(SEARCH("C1*",A21)),"C1",
ISNUMBER(SEARCH("C2*",A21)),"C2",
ISNUMBER(SEARCH("ORG*",A21)),"ORG",
ISNUMBER(SEARCH("PRY*",A21)),"PRY",
ISNUMBER(SEARCH("RCL*",A21)),"RCL",
ISNUMBER(SEARCH("SWW*",A21)),"SWW",
ISNUMBER(SEARCH("MNHV*",A21)),"MNHV")</f>
        <v>AUHV</v>
      </c>
      <c r="F21" s="1">
        <v>2.56</v>
      </c>
      <c r="G21" s="1">
        <v>24.19</v>
      </c>
      <c r="I21" s="1">
        <v>21.52</v>
      </c>
    </row>
    <row r="22" spans="1:9" x14ac:dyDescent="0.2">
      <c r="A22" t="s">
        <v>114</v>
      </c>
      <c r="C22" t="str" cm="1">
        <f t="array" ref="C22">_xlfn.IFS(
ISNUMBER(SEARCH("IV*",A22)),"IV",
ISNUMBER(SEARCH("III*",A22)),"III",
ISNUMBER(SEARCH("II*",A22)),"II",
ISNUMBER(SEARCH("I*",A22)),"I")</f>
        <v>I</v>
      </c>
      <c r="D22" cm="1">
        <f t="array" ref="D22">_xlfn.IFS(
ISNUMBER(SEARCH("-1*",A22)),1,
ISNUMBER(SEARCH("-2*",A22)),2)</f>
        <v>1</v>
      </c>
      <c r="E22" t="str" cm="1">
        <f t="array" ref="E22">_xlfn.IFS(
ISNUMBER(SEARCH("AUHV*",A22)),"AUHV",
ISNUMBER(SEARCH("BWW*",A22)),"BWW",
ISNUMBER(SEARCH("C1*",A22)),"C1",
ISNUMBER(SEARCH("C2*",A22)),"C2",
ISNUMBER(SEARCH("ORG*",A22)),"ORG",
ISNUMBER(SEARCH("PRY*",A22)),"PRY",
ISNUMBER(SEARCH("RCL*",A22)),"RCL",
ISNUMBER(SEARCH("SWW*",A22)),"SWW",
ISNUMBER(SEARCH("MNHV*",A22)),"MNHV")</f>
        <v>BWW</v>
      </c>
      <c r="F22" s="1">
        <v>2.7</v>
      </c>
      <c r="G22" s="1">
        <v>26.08</v>
      </c>
      <c r="I22" s="1">
        <v>22.34</v>
      </c>
    </row>
    <row r="23" spans="1:9" x14ac:dyDescent="0.2">
      <c r="A23" t="s">
        <v>115</v>
      </c>
      <c r="C23" t="str" cm="1">
        <f t="array" ref="C23">_xlfn.IFS(
ISNUMBER(SEARCH("IV*",A23)),"IV",
ISNUMBER(SEARCH("III*",A23)),"III",
ISNUMBER(SEARCH("II*",A23)),"II",
ISNUMBER(SEARCH("I*",A23)),"I")</f>
        <v>I</v>
      </c>
      <c r="D23" cm="1">
        <f t="array" ref="D23">_xlfn.IFS(
ISNUMBER(SEARCH("-1*",A23)),1,
ISNUMBER(SEARCH("-2*",A23)),2)</f>
        <v>2</v>
      </c>
      <c r="E23" t="str" cm="1">
        <f t="array" ref="E23">_xlfn.IFS(
ISNUMBER(SEARCH("AUHV*",A23)),"AUHV",
ISNUMBER(SEARCH("BWW*",A23)),"BWW",
ISNUMBER(SEARCH("C1*",A23)),"C1",
ISNUMBER(SEARCH("C2*",A23)),"C2",
ISNUMBER(SEARCH("ORG*",A23)),"ORG",
ISNUMBER(SEARCH("PRY*",A23)),"PRY",
ISNUMBER(SEARCH("RCL*",A23)),"RCL",
ISNUMBER(SEARCH("SWW*",A23)),"SWW",
ISNUMBER(SEARCH("MNHV*",A23)),"MNHV")</f>
        <v>BWW</v>
      </c>
      <c r="F23" s="1">
        <v>2.71</v>
      </c>
      <c r="G23" s="1">
        <v>25.08</v>
      </c>
      <c r="I23" s="1">
        <v>21.58</v>
      </c>
    </row>
    <row r="24" spans="1:9" x14ac:dyDescent="0.2">
      <c r="A24" t="s">
        <v>116</v>
      </c>
      <c r="C24" t="str" cm="1">
        <f t="array" ref="C24">_xlfn.IFS(
ISNUMBER(SEARCH("IV*",A24)),"IV",
ISNUMBER(SEARCH("III*",A24)),"III",
ISNUMBER(SEARCH("II*",A24)),"II",
ISNUMBER(SEARCH("I*",A24)),"I")</f>
        <v>I</v>
      </c>
      <c r="D24" cm="1">
        <f t="array" ref="D24">_xlfn.IFS(
ISNUMBER(SEARCH("-1*",A24)),1,
ISNUMBER(SEARCH("-2*",A24)),2)</f>
        <v>1</v>
      </c>
      <c r="E24" t="str" cm="1">
        <f t="array" ref="E24">_xlfn.IFS(
ISNUMBER(SEARCH("AUHV*",A24)),"AUHV",
ISNUMBER(SEARCH("BWW*",A24)),"BWW",
ISNUMBER(SEARCH("C1*",A24)),"C1",
ISNUMBER(SEARCH("C2*",A24)),"C2",
ISNUMBER(SEARCH("ORG*",A24)),"ORG",
ISNUMBER(SEARCH("PRY*",A24)),"PRY",
ISNUMBER(SEARCH("RCL*",A24)),"RCL",
ISNUMBER(SEARCH("SWW*",A24)),"SWW",
ISNUMBER(SEARCH("MNHV*",A24)),"MNHV")</f>
        <v>C1</v>
      </c>
      <c r="F24" s="1">
        <v>2.71</v>
      </c>
      <c r="G24" s="1">
        <v>27.19</v>
      </c>
      <c r="I24" s="1">
        <v>23.33</v>
      </c>
    </row>
    <row r="25" spans="1:9" x14ac:dyDescent="0.2">
      <c r="A25" t="s">
        <v>117</v>
      </c>
      <c r="C25" t="str" cm="1">
        <f t="array" ref="C25">_xlfn.IFS(
ISNUMBER(SEARCH("IV*",A25)),"IV",
ISNUMBER(SEARCH("III*",A25)),"III",
ISNUMBER(SEARCH("II*",A25)),"II",
ISNUMBER(SEARCH("I*",A25)),"I")</f>
        <v>I</v>
      </c>
      <c r="D25" cm="1">
        <f t="array" ref="D25">_xlfn.IFS(
ISNUMBER(SEARCH("-1*",A25)),1,
ISNUMBER(SEARCH("-2*",A25)),2)</f>
        <v>2</v>
      </c>
      <c r="E25" t="str" cm="1">
        <f t="array" ref="E25">_xlfn.IFS(
ISNUMBER(SEARCH("AUHV*",A25)),"AUHV",
ISNUMBER(SEARCH("BWW*",A25)),"BWW",
ISNUMBER(SEARCH("C1*",A25)),"C1",
ISNUMBER(SEARCH("C2*",A25)),"C2",
ISNUMBER(SEARCH("ORG*",A25)),"ORG",
ISNUMBER(SEARCH("PRY*",A25)),"PRY",
ISNUMBER(SEARCH("RCL*",A25)),"RCL",
ISNUMBER(SEARCH("SWW*",A25)),"SWW",
ISNUMBER(SEARCH("MNHV*",A25)),"MNHV")</f>
        <v>C1</v>
      </c>
      <c r="F25" s="1">
        <v>2.71</v>
      </c>
      <c r="G25" s="1">
        <v>25.88</v>
      </c>
      <c r="I25" s="1">
        <v>22.15</v>
      </c>
    </row>
    <row r="26" spans="1:9" x14ac:dyDescent="0.2">
      <c r="A26" t="s">
        <v>118</v>
      </c>
      <c r="C26" t="str" cm="1">
        <f t="array" ref="C26">_xlfn.IFS(
ISNUMBER(SEARCH("IV*",A26)),"IV",
ISNUMBER(SEARCH("III*",A26)),"III",
ISNUMBER(SEARCH("II*",A26)),"II",
ISNUMBER(SEARCH("I*",A26)),"I")</f>
        <v>I</v>
      </c>
      <c r="D26" cm="1">
        <f t="array" ref="D26">_xlfn.IFS(
ISNUMBER(SEARCH("-1*",A26)),1,
ISNUMBER(SEARCH("-2*",A26)),2)</f>
        <v>1</v>
      </c>
      <c r="E26" t="str" cm="1">
        <f t="array" ref="E26">_xlfn.IFS(
ISNUMBER(SEARCH("AUHV*",A26)),"AUHV",
ISNUMBER(SEARCH("BWW*",A26)),"BWW",
ISNUMBER(SEARCH("C1*",A26)),"C1",
ISNUMBER(SEARCH("C2*",A26)),"C2",
ISNUMBER(SEARCH("ORG*",A26)),"ORG",
ISNUMBER(SEARCH("PRY*",A26)),"PRY",
ISNUMBER(SEARCH("RCL*",A26)),"RCL",
ISNUMBER(SEARCH("SWW*",A26)),"SWW",
ISNUMBER(SEARCH("MNHV*",A26)),"MNHV")</f>
        <v>C2</v>
      </c>
      <c r="F26" s="1">
        <v>2.71</v>
      </c>
      <c r="G26" s="1">
        <v>27.45</v>
      </c>
      <c r="I26" s="1">
        <v>23.71</v>
      </c>
    </row>
    <row r="27" spans="1:9" x14ac:dyDescent="0.2">
      <c r="A27" t="s">
        <v>119</v>
      </c>
      <c r="C27" t="str" cm="1">
        <f t="array" ref="C27">_xlfn.IFS(
ISNUMBER(SEARCH("IV*",A27)),"IV",
ISNUMBER(SEARCH("III*",A27)),"III",
ISNUMBER(SEARCH("II*",A27)),"II",
ISNUMBER(SEARCH("I*",A27)),"I")</f>
        <v>I</v>
      </c>
      <c r="D27" cm="1">
        <f t="array" ref="D27">_xlfn.IFS(
ISNUMBER(SEARCH("-1*",A27)),1,
ISNUMBER(SEARCH("-2*",A27)),2)</f>
        <v>2</v>
      </c>
      <c r="E27" t="str" cm="1">
        <f t="array" ref="E27">_xlfn.IFS(
ISNUMBER(SEARCH("AUHV*",A27)),"AUHV",
ISNUMBER(SEARCH("BWW*",A27)),"BWW",
ISNUMBER(SEARCH("C1*",A27)),"C1",
ISNUMBER(SEARCH("C2*",A27)),"C2",
ISNUMBER(SEARCH("ORG*",A27)),"ORG",
ISNUMBER(SEARCH("PRY*",A27)),"PRY",
ISNUMBER(SEARCH("RCL*",A27)),"RCL",
ISNUMBER(SEARCH("SWW*",A27)),"SWW",
ISNUMBER(SEARCH("MNHV*",A27)),"MNHV")</f>
        <v>C2</v>
      </c>
      <c r="F27" s="1">
        <v>2.7</v>
      </c>
      <c r="G27" s="1">
        <v>24.69</v>
      </c>
      <c r="I27" s="1">
        <v>21.39</v>
      </c>
    </row>
    <row r="28" spans="1:9" x14ac:dyDescent="0.2">
      <c r="A28" t="s">
        <v>120</v>
      </c>
      <c r="C28" t="str" cm="1">
        <f t="array" ref="C28">_xlfn.IFS(
ISNUMBER(SEARCH("IV*",A28)),"IV",
ISNUMBER(SEARCH("III*",A28)),"III",
ISNUMBER(SEARCH("II*",A28)),"II",
ISNUMBER(SEARCH("I*",A28)),"I")</f>
        <v>I</v>
      </c>
      <c r="D28" cm="1">
        <f t="array" ref="D28">_xlfn.IFS(
ISNUMBER(SEARCH("-1*",A28)),1,
ISNUMBER(SEARCH("-2*",A28)),2)</f>
        <v>1</v>
      </c>
      <c r="E28" t="str" cm="1">
        <f t="array" ref="E28">_xlfn.IFS(
ISNUMBER(SEARCH("AUHV*",A28)),"AUHV",
ISNUMBER(SEARCH("BWW*",A28)),"BWW",
ISNUMBER(SEARCH("C1*",A28)),"C1",
ISNUMBER(SEARCH("C2*",A28)),"C2",
ISNUMBER(SEARCH("ORG*",A28)),"ORG",
ISNUMBER(SEARCH("PRY*",A28)),"PRY",
ISNUMBER(SEARCH("RCL*",A28)),"RCL",
ISNUMBER(SEARCH("SWW*",A28)),"SWW",
ISNUMBER(SEARCH("MNHV*",A28)),"MNHV")</f>
        <v>MNHV</v>
      </c>
      <c r="F28" s="1">
        <v>2.52</v>
      </c>
      <c r="G28" s="1">
        <v>27.06</v>
      </c>
      <c r="I28" s="1">
        <v>23.21</v>
      </c>
    </row>
    <row r="29" spans="1:9" x14ac:dyDescent="0.2">
      <c r="A29" t="s">
        <v>121</v>
      </c>
      <c r="C29" t="str" cm="1">
        <f t="array" ref="C29">_xlfn.IFS(
ISNUMBER(SEARCH("IV*",A29)),"IV",
ISNUMBER(SEARCH("III*",A29)),"III",
ISNUMBER(SEARCH("II*",A29)),"II",
ISNUMBER(SEARCH("I*",A29)),"I")</f>
        <v>I</v>
      </c>
      <c r="D29" cm="1">
        <f t="array" ref="D29">_xlfn.IFS(
ISNUMBER(SEARCH("-1*",A29)),1,
ISNUMBER(SEARCH("-2*",A29)),2)</f>
        <v>2</v>
      </c>
      <c r="E29" t="str" cm="1">
        <f t="array" ref="E29">_xlfn.IFS(
ISNUMBER(SEARCH("AUHV*",A29)),"AUHV",
ISNUMBER(SEARCH("BWW*",A29)),"BWW",
ISNUMBER(SEARCH("C1*",A29)),"C1",
ISNUMBER(SEARCH("C2*",A29)),"C2",
ISNUMBER(SEARCH("ORG*",A29)),"ORG",
ISNUMBER(SEARCH("PRY*",A29)),"PRY",
ISNUMBER(SEARCH("RCL*",A29)),"RCL",
ISNUMBER(SEARCH("SWW*",A29)),"SWW",
ISNUMBER(SEARCH("MNHV*",A29)),"MNHV")</f>
        <v>MNHV</v>
      </c>
      <c r="F29" s="1">
        <v>2.5099999999999998</v>
      </c>
      <c r="G29" s="1">
        <v>28.92</v>
      </c>
      <c r="I29" s="1">
        <v>20.63</v>
      </c>
    </row>
    <row r="30" spans="1:9" x14ac:dyDescent="0.2">
      <c r="A30" t="s">
        <v>122</v>
      </c>
      <c r="C30" t="str" cm="1">
        <f t="array" ref="C30">_xlfn.IFS(
ISNUMBER(SEARCH("IV*",A30)),"IV",
ISNUMBER(SEARCH("III*",A30)),"III",
ISNUMBER(SEARCH("II*",A30)),"II",
ISNUMBER(SEARCH("I*",A30)),"I")</f>
        <v>I</v>
      </c>
      <c r="D30" cm="1">
        <f t="array" ref="D30">_xlfn.IFS(
ISNUMBER(SEARCH("-1*",A30)),1,
ISNUMBER(SEARCH("-2*",A30)),2)</f>
        <v>1</v>
      </c>
      <c r="E30" t="str" cm="1">
        <f t="array" ref="E30">_xlfn.IFS(
ISNUMBER(SEARCH("AUHV*",A30)),"AUHV",
ISNUMBER(SEARCH("BWW*",A30)),"BWW",
ISNUMBER(SEARCH("C1*",A30)),"C1",
ISNUMBER(SEARCH("C2*",A30)),"C2",
ISNUMBER(SEARCH("ORG*",A30)),"ORG",
ISNUMBER(SEARCH("PRY*",A30)),"PRY",
ISNUMBER(SEARCH("RCL*",A30)),"RCL",
ISNUMBER(SEARCH("SWW*",A30)),"SWW",
ISNUMBER(SEARCH("MNHV*",A30)),"MNHV")</f>
        <v>ORG</v>
      </c>
      <c r="F30" s="1">
        <v>2.62</v>
      </c>
      <c r="G30" s="1">
        <v>24.94</v>
      </c>
      <c r="I30" s="1">
        <v>22.41</v>
      </c>
    </row>
    <row r="31" spans="1:9" x14ac:dyDescent="0.2">
      <c r="A31" t="s">
        <v>123</v>
      </c>
      <c r="C31" t="str" cm="1">
        <f t="array" ref="C31">_xlfn.IFS(
ISNUMBER(SEARCH("IV*",A31)),"IV",
ISNUMBER(SEARCH("III*",A31)),"III",
ISNUMBER(SEARCH("II*",A31)),"II",
ISNUMBER(SEARCH("I*",A31)),"I")</f>
        <v>I</v>
      </c>
      <c r="D31" cm="1">
        <f t="array" ref="D31">_xlfn.IFS(
ISNUMBER(SEARCH("-1*",A31)),1,
ISNUMBER(SEARCH("-2*",A31)),2)</f>
        <v>2</v>
      </c>
      <c r="E31" t="str" cm="1">
        <f t="array" ref="E31">_xlfn.IFS(
ISNUMBER(SEARCH("AUHV*",A31)),"AUHV",
ISNUMBER(SEARCH("BWW*",A31)),"BWW",
ISNUMBER(SEARCH("C1*",A31)),"C1",
ISNUMBER(SEARCH("C2*",A31)),"C2",
ISNUMBER(SEARCH("ORG*",A31)),"ORG",
ISNUMBER(SEARCH("PRY*",A31)),"PRY",
ISNUMBER(SEARCH("RCL*",A31)),"RCL",
ISNUMBER(SEARCH("SWW*",A31)),"SWW",
ISNUMBER(SEARCH("MNHV*",A31)),"MNHV")</f>
        <v>ORG</v>
      </c>
      <c r="F31" s="1">
        <v>2.5499999999999998</v>
      </c>
      <c r="G31" s="1">
        <v>25.08</v>
      </c>
      <c r="I31" s="1">
        <v>23.06</v>
      </c>
    </row>
    <row r="32" spans="1:9" x14ac:dyDescent="0.2">
      <c r="A32" t="s">
        <v>124</v>
      </c>
      <c r="C32" t="str" cm="1">
        <f t="array" ref="C32">_xlfn.IFS(
ISNUMBER(SEARCH("IV*",A32)),"IV",
ISNUMBER(SEARCH("III*",A32)),"III",
ISNUMBER(SEARCH("II*",A32)),"II",
ISNUMBER(SEARCH("I*",A32)),"I")</f>
        <v>I</v>
      </c>
      <c r="D32" cm="1">
        <f t="array" ref="D32">_xlfn.IFS(
ISNUMBER(SEARCH("-1*",A32)),1,
ISNUMBER(SEARCH("-2*",A32)),2)</f>
        <v>1</v>
      </c>
      <c r="E32" t="str" cm="1">
        <f t="array" ref="E32">_xlfn.IFS(
ISNUMBER(SEARCH("AUHV*",A32)),"AUHV",
ISNUMBER(SEARCH("BWW*",A32)),"BWW",
ISNUMBER(SEARCH("C1*",A32)),"C1",
ISNUMBER(SEARCH("C2*",A32)),"C2",
ISNUMBER(SEARCH("ORG*",A32)),"ORG",
ISNUMBER(SEARCH("PRY*",A32)),"PRY",
ISNUMBER(SEARCH("RCL*",A32)),"RCL",
ISNUMBER(SEARCH("SWW*",A32)),"SWW",
ISNUMBER(SEARCH("MNHV*",A32)),"MNHV")</f>
        <v>PRY</v>
      </c>
      <c r="F32" s="1">
        <v>2.58</v>
      </c>
      <c r="G32" s="1">
        <v>25.39</v>
      </c>
      <c r="I32" s="1">
        <v>22.04</v>
      </c>
    </row>
    <row r="33" spans="1:9" x14ac:dyDescent="0.2">
      <c r="A33" t="s">
        <v>125</v>
      </c>
      <c r="C33" t="str" cm="1">
        <f t="array" ref="C33">_xlfn.IFS(
ISNUMBER(SEARCH("IV*",A33)),"IV",
ISNUMBER(SEARCH("III*",A33)),"III",
ISNUMBER(SEARCH("II*",A33)),"II",
ISNUMBER(SEARCH("I*",A33)),"I")</f>
        <v>I</v>
      </c>
      <c r="D33" cm="1">
        <f t="array" ref="D33">_xlfn.IFS(
ISNUMBER(SEARCH("-1*",A33)),1,
ISNUMBER(SEARCH("-2*",A33)),2)</f>
        <v>2</v>
      </c>
      <c r="E33" t="str" cm="1">
        <f t="array" ref="E33">_xlfn.IFS(
ISNUMBER(SEARCH("AUHV*",A33)),"AUHV",
ISNUMBER(SEARCH("BWW*",A33)),"BWW",
ISNUMBER(SEARCH("C1*",A33)),"C1",
ISNUMBER(SEARCH("C2*",A33)),"C2",
ISNUMBER(SEARCH("ORG*",A33)),"ORG",
ISNUMBER(SEARCH("PRY*",A33)),"PRY",
ISNUMBER(SEARCH("RCL*",A33)),"RCL",
ISNUMBER(SEARCH("SWW*",A33)),"SWW",
ISNUMBER(SEARCH("MNHV*",A33)),"MNHV")</f>
        <v>PRY</v>
      </c>
      <c r="F33" s="1">
        <v>2.63</v>
      </c>
      <c r="G33" s="1">
        <v>25.39</v>
      </c>
      <c r="I33" s="1">
        <v>21.64</v>
      </c>
    </row>
    <row r="34" spans="1:9" x14ac:dyDescent="0.2">
      <c r="A34" t="s">
        <v>126</v>
      </c>
      <c r="C34" t="str" cm="1">
        <f t="array" ref="C34">_xlfn.IFS(
ISNUMBER(SEARCH("IV*",A34)),"IV",
ISNUMBER(SEARCH("III*",A34)),"III",
ISNUMBER(SEARCH("II*",A34)),"II",
ISNUMBER(SEARCH("I*",A34)),"I")</f>
        <v>I</v>
      </c>
      <c r="D34" cm="1">
        <f t="array" ref="D34">_xlfn.IFS(
ISNUMBER(SEARCH("-1*",A34)),1,
ISNUMBER(SEARCH("-2*",A34)),2)</f>
        <v>1</v>
      </c>
      <c r="E34" t="str" cm="1">
        <f t="array" ref="E34">_xlfn.IFS(
ISNUMBER(SEARCH("AUHV*",A34)),"AUHV",
ISNUMBER(SEARCH("BWW*",A34)),"BWW",
ISNUMBER(SEARCH("C1*",A34)),"C1",
ISNUMBER(SEARCH("C2*",A34)),"C2",
ISNUMBER(SEARCH("ORG*",A34)),"ORG",
ISNUMBER(SEARCH("PRY*",A34)),"PRY",
ISNUMBER(SEARCH("RCL*",A34)),"RCL",
ISNUMBER(SEARCH("SWW*",A34)),"SWW",
ISNUMBER(SEARCH("MNHV*",A34)),"MNHV")</f>
        <v>RCL</v>
      </c>
      <c r="F34" s="1">
        <v>2.68</v>
      </c>
      <c r="G34" s="1">
        <v>27.59</v>
      </c>
      <c r="I34" s="1">
        <v>23.98</v>
      </c>
    </row>
    <row r="35" spans="1:9" x14ac:dyDescent="0.2">
      <c r="A35" t="s">
        <v>127</v>
      </c>
      <c r="C35" t="str" cm="1">
        <f t="array" ref="C35">_xlfn.IFS(
ISNUMBER(SEARCH("IV*",A35)),"IV",
ISNUMBER(SEARCH("III*",A35)),"III",
ISNUMBER(SEARCH("II*",A35)),"II",
ISNUMBER(SEARCH("I*",A35)),"I")</f>
        <v>I</v>
      </c>
      <c r="D35" cm="1">
        <f t="array" ref="D35">_xlfn.IFS(
ISNUMBER(SEARCH("-1*",A35)),1,
ISNUMBER(SEARCH("-2*",A35)),2)</f>
        <v>2</v>
      </c>
      <c r="E35" t="str" cm="1">
        <f t="array" ref="E35">_xlfn.IFS(
ISNUMBER(SEARCH("AUHV*",A35)),"AUHV",
ISNUMBER(SEARCH("BWW*",A35)),"BWW",
ISNUMBER(SEARCH("C1*",A35)),"C1",
ISNUMBER(SEARCH("C2*",A35)),"C2",
ISNUMBER(SEARCH("ORG*",A35)),"ORG",
ISNUMBER(SEARCH("PRY*",A35)),"PRY",
ISNUMBER(SEARCH("RCL*",A35)),"RCL",
ISNUMBER(SEARCH("SWW*",A35)),"SWW",
ISNUMBER(SEARCH("MNHV*",A35)),"MNHV")</f>
        <v>RCL</v>
      </c>
      <c r="F35" s="1">
        <v>2.62</v>
      </c>
      <c r="G35" s="1">
        <v>24.63</v>
      </c>
      <c r="I35" s="1">
        <v>21.41</v>
      </c>
    </row>
    <row r="36" spans="1:9" x14ac:dyDescent="0.2">
      <c r="A36" t="s">
        <v>128</v>
      </c>
      <c r="C36" t="str" cm="1">
        <f t="array" ref="C36">_xlfn.IFS(
ISNUMBER(SEARCH("IV*",A36)),"IV",
ISNUMBER(SEARCH("III*",A36)),"III",
ISNUMBER(SEARCH("II*",A36)),"II",
ISNUMBER(SEARCH("I*",A36)),"I")</f>
        <v>I</v>
      </c>
      <c r="D36" cm="1">
        <f t="array" ref="D36">_xlfn.IFS(
ISNUMBER(SEARCH("-1*",A36)),1,
ISNUMBER(SEARCH("-2*",A36)),2)</f>
        <v>1</v>
      </c>
      <c r="E36" t="str" cm="1">
        <f t="array" ref="E36">_xlfn.IFS(
ISNUMBER(SEARCH("AUHV*",A36)),"AUHV",
ISNUMBER(SEARCH("BWW*",A36)),"BWW",
ISNUMBER(SEARCH("C1*",A36)),"C1",
ISNUMBER(SEARCH("C2*",A36)),"C2",
ISNUMBER(SEARCH("ORG*",A36)),"ORG",
ISNUMBER(SEARCH("PRY*",A36)),"PRY",
ISNUMBER(SEARCH("RCL*",A36)),"RCL",
ISNUMBER(SEARCH("SWW*",A36)),"SWW",
ISNUMBER(SEARCH("MNHV*",A36)),"MNHV")</f>
        <v>SWW</v>
      </c>
      <c r="F36" s="1">
        <v>2.64</v>
      </c>
      <c r="G36" s="1">
        <v>25.63</v>
      </c>
      <c r="I36" s="1">
        <v>22.39</v>
      </c>
    </row>
    <row r="37" spans="1:9" x14ac:dyDescent="0.2">
      <c r="A37" t="s">
        <v>129</v>
      </c>
      <c r="C37" t="str" cm="1">
        <f t="array" ref="C37">_xlfn.IFS(
ISNUMBER(SEARCH("IV*",A37)),"IV",
ISNUMBER(SEARCH("III*",A37)),"III",
ISNUMBER(SEARCH("II*",A37)),"II",
ISNUMBER(SEARCH("I*",A37)),"I")</f>
        <v>I</v>
      </c>
      <c r="D37" cm="1">
        <f t="array" ref="D37">_xlfn.IFS(
ISNUMBER(SEARCH("-1*",A37)),1,
ISNUMBER(SEARCH("-2*",A37)),2)</f>
        <v>2</v>
      </c>
      <c r="E37" t="str" cm="1">
        <f t="array" ref="E37">_xlfn.IFS(
ISNUMBER(SEARCH("AUHV*",A37)),"AUHV",
ISNUMBER(SEARCH("BWW*",A37)),"BWW",
ISNUMBER(SEARCH("C1*",A37)),"C1",
ISNUMBER(SEARCH("C2*",A37)),"C2",
ISNUMBER(SEARCH("ORG*",A37)),"ORG",
ISNUMBER(SEARCH("PRY*",A37)),"PRY",
ISNUMBER(SEARCH("RCL*",A37)),"RCL",
ISNUMBER(SEARCH("SWW*",A37)),"SWW",
ISNUMBER(SEARCH("MNHV*",A37)),"MNHV")</f>
        <v>SWW</v>
      </c>
      <c r="F37" s="1">
        <v>2.62</v>
      </c>
      <c r="G37" s="1">
        <v>23.9</v>
      </c>
      <c r="I37" s="1">
        <v>20.93</v>
      </c>
    </row>
    <row r="38" spans="1:9" x14ac:dyDescent="0.2">
      <c r="A38" t="s">
        <v>130</v>
      </c>
      <c r="C38" t="str" cm="1">
        <f t="array" ref="C38">_xlfn.IFS(
ISNUMBER(SEARCH("IV*",A38)),"IV",
ISNUMBER(SEARCH("III*",A38)),"III",
ISNUMBER(SEARCH("II*",A38)),"II",
ISNUMBER(SEARCH("I*",A38)),"I")</f>
        <v>II</v>
      </c>
      <c r="D38" cm="1">
        <f t="array" ref="D38">_xlfn.IFS(
ISNUMBER(SEARCH("-1*",A38)),1,
ISNUMBER(SEARCH("-2*",A38)),2)</f>
        <v>1</v>
      </c>
      <c r="E38" t="str" cm="1">
        <f t="array" ref="E38">_xlfn.IFS(
ISNUMBER(SEARCH("AUHV*",A38)),"AUHV",
ISNUMBER(SEARCH("BWW*",A38)),"BWW",
ISNUMBER(SEARCH("C1*",A38)),"C1",
ISNUMBER(SEARCH("C2*",A38)),"C2",
ISNUMBER(SEARCH("ORG*",A38)),"ORG",
ISNUMBER(SEARCH("PRY*",A38)),"PRY",
ISNUMBER(SEARCH("RCL*",A38)),"RCL",
ISNUMBER(SEARCH("SWW*",A38)),"SWW",
ISNUMBER(SEARCH("MNHV*",A38)),"MNHV")</f>
        <v>AUHV</v>
      </c>
      <c r="F38" s="1">
        <v>2.46</v>
      </c>
      <c r="G38" s="1">
        <v>25.7</v>
      </c>
      <c r="I38" s="1">
        <v>22.28</v>
      </c>
    </row>
    <row r="39" spans="1:9" x14ac:dyDescent="0.2">
      <c r="A39" t="s">
        <v>131</v>
      </c>
      <c r="C39" t="str" cm="1">
        <f t="array" ref="C39">_xlfn.IFS(
ISNUMBER(SEARCH("IV*",A39)),"IV",
ISNUMBER(SEARCH("III*",A39)),"III",
ISNUMBER(SEARCH("II*",A39)),"II",
ISNUMBER(SEARCH("I*",A39)),"I")</f>
        <v>II</v>
      </c>
      <c r="D39" cm="1">
        <f t="array" ref="D39">_xlfn.IFS(
ISNUMBER(SEARCH("-1*",A39)),1,
ISNUMBER(SEARCH("-2*",A39)),2)</f>
        <v>2</v>
      </c>
      <c r="E39" t="str" cm="1">
        <f t="array" ref="E39">_xlfn.IFS(
ISNUMBER(SEARCH("AUHV*",A39)),"AUHV",
ISNUMBER(SEARCH("BWW*",A39)),"BWW",
ISNUMBER(SEARCH("C1*",A39)),"C1",
ISNUMBER(SEARCH("C2*",A39)),"C2",
ISNUMBER(SEARCH("ORG*",A39)),"ORG",
ISNUMBER(SEARCH("PRY*",A39)),"PRY",
ISNUMBER(SEARCH("RCL*",A39)),"RCL",
ISNUMBER(SEARCH("SWW*",A39)),"SWW",
ISNUMBER(SEARCH("MNHV*",A39)),"MNHV")</f>
        <v>AUHV</v>
      </c>
      <c r="F39" s="1">
        <v>2.5099999999999998</v>
      </c>
      <c r="G39" s="1">
        <v>24.43</v>
      </c>
      <c r="I39" s="1">
        <v>20.99</v>
      </c>
    </row>
    <row r="40" spans="1:9" x14ac:dyDescent="0.2">
      <c r="A40" t="s">
        <v>132</v>
      </c>
      <c r="C40" t="str" cm="1">
        <f t="array" ref="C40">_xlfn.IFS(
ISNUMBER(SEARCH("IV*",A40)),"IV",
ISNUMBER(SEARCH("III*",A40)),"III",
ISNUMBER(SEARCH("II*",A40)),"II",
ISNUMBER(SEARCH("I*",A40)),"I")</f>
        <v>II</v>
      </c>
      <c r="D40" cm="1">
        <f t="array" ref="D40">_xlfn.IFS(
ISNUMBER(SEARCH("-1*",A40)),1,
ISNUMBER(SEARCH("-2*",A40)),2)</f>
        <v>1</v>
      </c>
      <c r="E40" t="str" cm="1">
        <f t="array" ref="E40">_xlfn.IFS(
ISNUMBER(SEARCH("AUHV*",A40)),"AUHV",
ISNUMBER(SEARCH("BWW*",A40)),"BWW",
ISNUMBER(SEARCH("C1*",A40)),"C1",
ISNUMBER(SEARCH("C2*",A40)),"C2",
ISNUMBER(SEARCH("ORG*",A40)),"ORG",
ISNUMBER(SEARCH("PRY*",A40)),"PRY",
ISNUMBER(SEARCH("RCL*",A40)),"RCL",
ISNUMBER(SEARCH("SWW*",A40)),"SWW",
ISNUMBER(SEARCH("MNHV*",A40)),"MNHV")</f>
        <v>BWW</v>
      </c>
      <c r="F40" s="1">
        <v>2.69</v>
      </c>
      <c r="G40" s="1">
        <v>25.61</v>
      </c>
      <c r="I40" s="1">
        <v>22.28</v>
      </c>
    </row>
    <row r="41" spans="1:9" x14ac:dyDescent="0.2">
      <c r="A41" t="s">
        <v>133</v>
      </c>
      <c r="C41" t="str" cm="1">
        <f t="array" ref="C41">_xlfn.IFS(
ISNUMBER(SEARCH("IV*",A41)),"IV",
ISNUMBER(SEARCH("III*",A41)),"III",
ISNUMBER(SEARCH("II*",A41)),"II",
ISNUMBER(SEARCH("I*",A41)),"I")</f>
        <v>II</v>
      </c>
      <c r="D41" cm="1">
        <f t="array" ref="D41">_xlfn.IFS(
ISNUMBER(SEARCH("-1*",A41)),1,
ISNUMBER(SEARCH("-2*",A41)),2)</f>
        <v>2</v>
      </c>
      <c r="E41" t="str" cm="1">
        <f t="array" ref="E41">_xlfn.IFS(
ISNUMBER(SEARCH("AUHV*",A41)),"AUHV",
ISNUMBER(SEARCH("BWW*",A41)),"BWW",
ISNUMBER(SEARCH("C1*",A41)),"C1",
ISNUMBER(SEARCH("C2*",A41)),"C2",
ISNUMBER(SEARCH("ORG*",A41)),"ORG",
ISNUMBER(SEARCH("PRY*",A41)),"PRY",
ISNUMBER(SEARCH("RCL*",A41)),"RCL",
ISNUMBER(SEARCH("SWW*",A41)),"SWW",
ISNUMBER(SEARCH("MNHV*",A41)),"MNHV")</f>
        <v>BWW</v>
      </c>
      <c r="F41" s="1">
        <v>2.65</v>
      </c>
      <c r="G41" s="1">
        <v>26.67</v>
      </c>
      <c r="I41" s="1">
        <v>22.96</v>
      </c>
    </row>
    <row r="42" spans="1:9" x14ac:dyDescent="0.2">
      <c r="A42" t="s">
        <v>134</v>
      </c>
      <c r="C42" t="str" cm="1">
        <f t="array" ref="C42">_xlfn.IFS(
ISNUMBER(SEARCH("IV*",A42)),"IV",
ISNUMBER(SEARCH("III*",A42)),"III",
ISNUMBER(SEARCH("II*",A42)),"II",
ISNUMBER(SEARCH("I*",A42)),"I")</f>
        <v>II</v>
      </c>
      <c r="D42" cm="1">
        <f t="array" ref="D42">_xlfn.IFS(
ISNUMBER(SEARCH("-1*",A42)),1,
ISNUMBER(SEARCH("-2*",A42)),2)</f>
        <v>1</v>
      </c>
      <c r="E42" t="str" cm="1">
        <f t="array" ref="E42">_xlfn.IFS(
ISNUMBER(SEARCH("AUHV*",A42)),"AUHV",
ISNUMBER(SEARCH("BWW*",A42)),"BWW",
ISNUMBER(SEARCH("C1*",A42)),"C1",
ISNUMBER(SEARCH("C2*",A42)),"C2",
ISNUMBER(SEARCH("ORG*",A42)),"ORG",
ISNUMBER(SEARCH("PRY*",A42)),"PRY",
ISNUMBER(SEARCH("RCL*",A42)),"RCL",
ISNUMBER(SEARCH("SWW*",A42)),"SWW",
ISNUMBER(SEARCH("MNHV*",A42)),"MNHV")</f>
        <v>C1</v>
      </c>
    </row>
    <row r="43" spans="1:9" x14ac:dyDescent="0.2">
      <c r="A43" t="s">
        <v>135</v>
      </c>
      <c r="C43" t="str" cm="1">
        <f t="array" ref="C43">_xlfn.IFS(
ISNUMBER(SEARCH("IV*",A43)),"IV",
ISNUMBER(SEARCH("III*",A43)),"III",
ISNUMBER(SEARCH("II*",A43)),"II",
ISNUMBER(SEARCH("I*",A43)),"I")</f>
        <v>II</v>
      </c>
      <c r="D43" cm="1">
        <f t="array" ref="D43">_xlfn.IFS(
ISNUMBER(SEARCH("-1*",A43)),1,
ISNUMBER(SEARCH("-2*",A43)),2)</f>
        <v>2</v>
      </c>
      <c r="E43" t="str" cm="1">
        <f t="array" ref="E43">_xlfn.IFS(
ISNUMBER(SEARCH("AUHV*",A43)),"AUHV",
ISNUMBER(SEARCH("BWW*",A43)),"BWW",
ISNUMBER(SEARCH("C1*",A43)),"C1",
ISNUMBER(SEARCH("C2*",A43)),"C2",
ISNUMBER(SEARCH("ORG*",A43)),"ORG",
ISNUMBER(SEARCH("PRY*",A43)),"PRY",
ISNUMBER(SEARCH("RCL*",A43)),"RCL",
ISNUMBER(SEARCH("SWW*",A43)),"SWW",
ISNUMBER(SEARCH("MNHV*",A43)),"MNHV")</f>
        <v>C1</v>
      </c>
    </row>
    <row r="44" spans="1:9" x14ac:dyDescent="0.2">
      <c r="A44" t="s">
        <v>136</v>
      </c>
      <c r="C44" t="str" cm="1">
        <f t="array" ref="C44">_xlfn.IFS(
ISNUMBER(SEARCH("IV*",A44)),"IV",
ISNUMBER(SEARCH("III*",A44)),"III",
ISNUMBER(SEARCH("II*",A44)),"II",
ISNUMBER(SEARCH("I*",A44)),"I")</f>
        <v>II</v>
      </c>
      <c r="D44" cm="1">
        <f t="array" ref="D44">_xlfn.IFS(
ISNUMBER(SEARCH("-1*",A44)),1,
ISNUMBER(SEARCH("-2*",A44)),2)</f>
        <v>1</v>
      </c>
      <c r="E44" t="str" cm="1">
        <f t="array" ref="E44">_xlfn.IFS(
ISNUMBER(SEARCH("AUHV*",A44)),"AUHV",
ISNUMBER(SEARCH("BWW*",A44)),"BWW",
ISNUMBER(SEARCH("C1*",A44)),"C1",
ISNUMBER(SEARCH("C2*",A44)),"C2",
ISNUMBER(SEARCH("ORG*",A44)),"ORG",
ISNUMBER(SEARCH("PRY*",A44)),"PRY",
ISNUMBER(SEARCH("RCL*",A44)),"RCL",
ISNUMBER(SEARCH("SWW*",A44)),"SWW",
ISNUMBER(SEARCH("MNHV*",A44)),"MNHV")</f>
        <v>C2</v>
      </c>
    </row>
    <row r="45" spans="1:9" x14ac:dyDescent="0.2">
      <c r="A45" t="s">
        <v>137</v>
      </c>
      <c r="C45" t="str" cm="1">
        <f t="array" ref="C45">_xlfn.IFS(
ISNUMBER(SEARCH("IV*",A45)),"IV",
ISNUMBER(SEARCH("III*",A45)),"III",
ISNUMBER(SEARCH("II*",A45)),"II",
ISNUMBER(SEARCH("I*",A45)),"I")</f>
        <v>II</v>
      </c>
      <c r="D45" cm="1">
        <f t="array" ref="D45">_xlfn.IFS(
ISNUMBER(SEARCH("-1*",A45)),1,
ISNUMBER(SEARCH("-2*",A45)),2)</f>
        <v>2</v>
      </c>
      <c r="E45" t="str" cm="1">
        <f t="array" ref="E45">_xlfn.IFS(
ISNUMBER(SEARCH("AUHV*",A45)),"AUHV",
ISNUMBER(SEARCH("BWW*",A45)),"BWW",
ISNUMBER(SEARCH("C1*",A45)),"C1",
ISNUMBER(SEARCH("C2*",A45)),"C2",
ISNUMBER(SEARCH("ORG*",A45)),"ORG",
ISNUMBER(SEARCH("PRY*",A45)),"PRY",
ISNUMBER(SEARCH("RCL*",A45)),"RCL",
ISNUMBER(SEARCH("SWW*",A45)),"SWW",
ISNUMBER(SEARCH("MNHV*",A45)),"MNHV")</f>
        <v>C2</v>
      </c>
    </row>
    <row r="46" spans="1:9" x14ac:dyDescent="0.2">
      <c r="A46" t="s">
        <v>138</v>
      </c>
      <c r="C46" t="str" cm="1">
        <f t="array" ref="C46">_xlfn.IFS(
ISNUMBER(SEARCH("IV*",A46)),"IV",
ISNUMBER(SEARCH("III*",A46)),"III",
ISNUMBER(SEARCH("II*",A46)),"II",
ISNUMBER(SEARCH("I*",A46)),"I")</f>
        <v>II</v>
      </c>
      <c r="D46" cm="1">
        <f t="array" ref="D46">_xlfn.IFS(
ISNUMBER(SEARCH("-1*",A46)),1,
ISNUMBER(SEARCH("-2*",A46)),2)</f>
        <v>1</v>
      </c>
      <c r="E46" t="str" cm="1">
        <f t="array" ref="E46">_xlfn.IFS(
ISNUMBER(SEARCH("AUHV*",A46)),"AUHV",
ISNUMBER(SEARCH("BWW*",A46)),"BWW",
ISNUMBER(SEARCH("C1*",A46)),"C1",
ISNUMBER(SEARCH("C2*",A46)),"C2",
ISNUMBER(SEARCH("ORG*",A46)),"ORG",
ISNUMBER(SEARCH("PRY*",A46)),"PRY",
ISNUMBER(SEARCH("RCL*",A46)),"RCL",
ISNUMBER(SEARCH("SWW*",A46)),"SWW",
ISNUMBER(SEARCH("MNHV*",A46)),"MNHV")</f>
        <v>MNHV</v>
      </c>
      <c r="F46" s="1">
        <v>2.39</v>
      </c>
      <c r="G46" s="1">
        <v>29.88</v>
      </c>
      <c r="I46" s="1">
        <v>26.74</v>
      </c>
    </row>
    <row r="47" spans="1:9" x14ac:dyDescent="0.2">
      <c r="A47" t="s">
        <v>139</v>
      </c>
      <c r="C47" t="str" cm="1">
        <f t="array" ref="C47">_xlfn.IFS(
ISNUMBER(SEARCH("IV*",A47)),"IV",
ISNUMBER(SEARCH("III*",A47)),"III",
ISNUMBER(SEARCH("II*",A47)),"II",
ISNUMBER(SEARCH("I*",A47)),"I")</f>
        <v>II</v>
      </c>
      <c r="D47" cm="1">
        <f t="array" ref="D47">_xlfn.IFS(
ISNUMBER(SEARCH("-1*",A47)),1,
ISNUMBER(SEARCH("-2*",A47)),2)</f>
        <v>2</v>
      </c>
      <c r="E47" t="str" cm="1">
        <f t="array" ref="E47">_xlfn.IFS(
ISNUMBER(SEARCH("AUHV*",A47)),"AUHV",
ISNUMBER(SEARCH("BWW*",A47)),"BWW",
ISNUMBER(SEARCH("C1*",A47)),"C1",
ISNUMBER(SEARCH("C2*",A47)),"C2",
ISNUMBER(SEARCH("ORG*",A47)),"ORG",
ISNUMBER(SEARCH("PRY*",A47)),"PRY",
ISNUMBER(SEARCH("RCL*",A47)),"RCL",
ISNUMBER(SEARCH("SWW*",A47)),"SWW",
ISNUMBER(SEARCH("MNHV*",A47)),"MNHV")</f>
        <v>MNHV</v>
      </c>
      <c r="F47" s="1">
        <v>2.56</v>
      </c>
      <c r="G47" s="1">
        <v>26.23</v>
      </c>
      <c r="I47" s="1">
        <v>23.35</v>
      </c>
    </row>
    <row r="48" spans="1:9" x14ac:dyDescent="0.2">
      <c r="A48" t="s">
        <v>140</v>
      </c>
      <c r="C48" t="str" cm="1">
        <f t="array" ref="C48">_xlfn.IFS(
ISNUMBER(SEARCH("IV*",A48)),"IV",
ISNUMBER(SEARCH("III*",A48)),"III",
ISNUMBER(SEARCH("II*",A48)),"II",
ISNUMBER(SEARCH("I*",A48)),"I")</f>
        <v>II</v>
      </c>
      <c r="D48" cm="1">
        <f t="array" ref="D48">_xlfn.IFS(
ISNUMBER(SEARCH("-1*",A48)),1,
ISNUMBER(SEARCH("-2*",A48)),2)</f>
        <v>1</v>
      </c>
      <c r="E48" t="str" cm="1">
        <f t="array" ref="E48">_xlfn.IFS(
ISNUMBER(SEARCH("AUHV*",A48)),"AUHV",
ISNUMBER(SEARCH("BWW*",A48)),"BWW",
ISNUMBER(SEARCH("C1*",A48)),"C1",
ISNUMBER(SEARCH("C2*",A48)),"C2",
ISNUMBER(SEARCH("ORG*",A48)),"ORG",
ISNUMBER(SEARCH("PRY*",A48)),"PRY",
ISNUMBER(SEARCH("RCL*",A48)),"RCL",
ISNUMBER(SEARCH("SWW*",A48)),"SWW",
ISNUMBER(SEARCH("MNHV*",A48)),"MNHV")</f>
        <v>ORG</v>
      </c>
      <c r="F48" s="1">
        <v>2.61</v>
      </c>
      <c r="G48" s="1">
        <v>27.38</v>
      </c>
      <c r="I48" s="1">
        <v>25.15</v>
      </c>
    </row>
    <row r="49" spans="1:9" x14ac:dyDescent="0.2">
      <c r="A49" t="s">
        <v>141</v>
      </c>
      <c r="C49" t="str" cm="1">
        <f t="array" ref="C49">_xlfn.IFS(
ISNUMBER(SEARCH("IV*",A49)),"IV",
ISNUMBER(SEARCH("III*",A49)),"III",
ISNUMBER(SEARCH("II*",A49)),"II",
ISNUMBER(SEARCH("I*",A49)),"I")</f>
        <v>II</v>
      </c>
      <c r="D49" cm="1">
        <f t="array" ref="D49">_xlfn.IFS(
ISNUMBER(SEARCH("-1*",A49)),1,
ISNUMBER(SEARCH("-2*",A49)),2)</f>
        <v>2</v>
      </c>
      <c r="E49" t="str" cm="1">
        <f t="array" ref="E49">_xlfn.IFS(
ISNUMBER(SEARCH("AUHV*",A49)),"AUHV",
ISNUMBER(SEARCH("BWW*",A49)),"BWW",
ISNUMBER(SEARCH("C1*",A49)),"C1",
ISNUMBER(SEARCH("C2*",A49)),"C2",
ISNUMBER(SEARCH("ORG*",A49)),"ORG",
ISNUMBER(SEARCH("PRY*",A49)),"PRY",
ISNUMBER(SEARCH("RCL*",A49)),"RCL",
ISNUMBER(SEARCH("SWW*",A49)),"SWW",
ISNUMBER(SEARCH("MNHV*",A49)),"MNHV")</f>
        <v>ORG</v>
      </c>
      <c r="F49" s="1">
        <v>2.59</v>
      </c>
      <c r="G49" s="1">
        <v>25.45</v>
      </c>
      <c r="I49" s="1">
        <v>23.31</v>
      </c>
    </row>
    <row r="50" spans="1:9" x14ac:dyDescent="0.2">
      <c r="A50" t="s">
        <v>142</v>
      </c>
      <c r="C50" t="str" cm="1">
        <f t="array" ref="C50">_xlfn.IFS(
ISNUMBER(SEARCH("IV*",A50)),"IV",
ISNUMBER(SEARCH("III*",A50)),"III",
ISNUMBER(SEARCH("II*",A50)),"II",
ISNUMBER(SEARCH("I*",A50)),"I")</f>
        <v>II</v>
      </c>
      <c r="D50" cm="1">
        <f t="array" ref="D50">_xlfn.IFS(
ISNUMBER(SEARCH("-1*",A50)),1,
ISNUMBER(SEARCH("-2*",A50)),2)</f>
        <v>1</v>
      </c>
      <c r="E50" t="str" cm="1">
        <f t="array" ref="E50">_xlfn.IFS(
ISNUMBER(SEARCH("AUHV*",A50)),"AUHV",
ISNUMBER(SEARCH("BWW*",A50)),"BWW",
ISNUMBER(SEARCH("C1*",A50)),"C1",
ISNUMBER(SEARCH("C2*",A50)),"C2",
ISNUMBER(SEARCH("ORG*",A50)),"ORG",
ISNUMBER(SEARCH("PRY*",A50)),"PRY",
ISNUMBER(SEARCH("RCL*",A50)),"RCL",
ISNUMBER(SEARCH("SWW*",A50)),"SWW",
ISNUMBER(SEARCH("MNHV*",A50)),"MNHV")</f>
        <v>PRY</v>
      </c>
      <c r="F50" s="1">
        <v>2.5499999999999998</v>
      </c>
      <c r="G50" s="1">
        <v>27.19</v>
      </c>
      <c r="I50" s="1">
        <v>23.7</v>
      </c>
    </row>
    <row r="51" spans="1:9" x14ac:dyDescent="0.2">
      <c r="A51" t="s">
        <v>143</v>
      </c>
      <c r="C51" t="str" cm="1">
        <f t="array" ref="C51">_xlfn.IFS(
ISNUMBER(SEARCH("IV*",A51)),"IV",
ISNUMBER(SEARCH("III*",A51)),"III",
ISNUMBER(SEARCH("II*",A51)),"II",
ISNUMBER(SEARCH("I*",A51)),"I")</f>
        <v>II</v>
      </c>
      <c r="D51" cm="1">
        <f t="array" ref="D51">_xlfn.IFS(
ISNUMBER(SEARCH("-1*",A51)),1,
ISNUMBER(SEARCH("-2*",A51)),2)</f>
        <v>2</v>
      </c>
      <c r="E51" t="str" cm="1">
        <f t="array" ref="E51">_xlfn.IFS(
ISNUMBER(SEARCH("AUHV*",A51)),"AUHV",
ISNUMBER(SEARCH("BWW*",A51)),"BWW",
ISNUMBER(SEARCH("C1*",A51)),"C1",
ISNUMBER(SEARCH("C2*",A51)),"C2",
ISNUMBER(SEARCH("ORG*",A51)),"ORG",
ISNUMBER(SEARCH("PRY*",A51)),"PRY",
ISNUMBER(SEARCH("RCL*",A51)),"RCL",
ISNUMBER(SEARCH("SWW*",A51)),"SWW",
ISNUMBER(SEARCH("MNHV*",A51)),"MNHV")</f>
        <v>PRY</v>
      </c>
      <c r="F51" s="1">
        <v>2.6</v>
      </c>
      <c r="G51" s="1">
        <v>24.55</v>
      </c>
      <c r="I51" s="1">
        <v>21.33</v>
      </c>
    </row>
    <row r="52" spans="1:9" x14ac:dyDescent="0.2">
      <c r="A52" t="s">
        <v>144</v>
      </c>
      <c r="C52" t="str" cm="1">
        <f t="array" ref="C52">_xlfn.IFS(
ISNUMBER(SEARCH("IV*",A52)),"IV",
ISNUMBER(SEARCH("III*",A52)),"III",
ISNUMBER(SEARCH("II*",A52)),"II",
ISNUMBER(SEARCH("I*",A52)),"I")</f>
        <v>II</v>
      </c>
      <c r="D52" cm="1">
        <f t="array" ref="D52">_xlfn.IFS(
ISNUMBER(SEARCH("-1*",A52)),1,
ISNUMBER(SEARCH("-2*",A52)),2)</f>
        <v>1</v>
      </c>
      <c r="E52" t="str" cm="1">
        <f t="array" ref="E52">_xlfn.IFS(
ISNUMBER(SEARCH("AUHV*",A52)),"AUHV",
ISNUMBER(SEARCH("BWW*",A52)),"BWW",
ISNUMBER(SEARCH("C1*",A52)),"C1",
ISNUMBER(SEARCH("C2*",A52)),"C2",
ISNUMBER(SEARCH("ORG*",A52)),"ORG",
ISNUMBER(SEARCH("PRY*",A52)),"PRY",
ISNUMBER(SEARCH("RCL*",A52)),"RCL",
ISNUMBER(SEARCH("SWW*",A52)),"SWW",
ISNUMBER(SEARCH("MNHV*",A52)),"MNHV")</f>
        <v>RCL</v>
      </c>
      <c r="F52" s="1">
        <v>2.61</v>
      </c>
      <c r="G52" s="1">
        <v>24.19</v>
      </c>
      <c r="I52" s="1">
        <v>21.74</v>
      </c>
    </row>
    <row r="53" spans="1:9" x14ac:dyDescent="0.2">
      <c r="A53" t="s">
        <v>145</v>
      </c>
      <c r="C53" t="str" cm="1">
        <f t="array" ref="C53">_xlfn.IFS(
ISNUMBER(SEARCH("IV*",A53)),"IV",
ISNUMBER(SEARCH("III*",A53)),"III",
ISNUMBER(SEARCH("II*",A53)),"II",
ISNUMBER(SEARCH("I*",A53)),"I")</f>
        <v>II</v>
      </c>
      <c r="D53" cm="1">
        <f t="array" ref="D53">_xlfn.IFS(
ISNUMBER(SEARCH("-1*",A53)),1,
ISNUMBER(SEARCH("-2*",A53)),2)</f>
        <v>2</v>
      </c>
      <c r="E53" t="str" cm="1">
        <f t="array" ref="E53">_xlfn.IFS(
ISNUMBER(SEARCH("AUHV*",A53)),"AUHV",
ISNUMBER(SEARCH("BWW*",A53)),"BWW",
ISNUMBER(SEARCH("C1*",A53)),"C1",
ISNUMBER(SEARCH("C2*",A53)),"C2",
ISNUMBER(SEARCH("ORG*",A53)),"ORG",
ISNUMBER(SEARCH("PRY*",A53)),"PRY",
ISNUMBER(SEARCH("RCL*",A53)),"RCL",
ISNUMBER(SEARCH("SWW*",A53)),"SWW",
ISNUMBER(SEARCH("MNHV*",A53)),"MNHV")</f>
        <v>RCL</v>
      </c>
      <c r="F53" s="1">
        <v>2.7</v>
      </c>
      <c r="G53" s="1">
        <v>24.85</v>
      </c>
      <c r="I53" s="1">
        <v>22.37</v>
      </c>
    </row>
    <row r="54" spans="1:9" x14ac:dyDescent="0.2">
      <c r="A54" t="s">
        <v>146</v>
      </c>
      <c r="C54" t="str" cm="1">
        <f t="array" ref="C54">_xlfn.IFS(
ISNUMBER(SEARCH("IV*",A54)),"IV",
ISNUMBER(SEARCH("III*",A54)),"III",
ISNUMBER(SEARCH("II*",A54)),"II",
ISNUMBER(SEARCH("I*",A54)),"I")</f>
        <v>II</v>
      </c>
      <c r="D54" cm="1">
        <f t="array" ref="D54">_xlfn.IFS(
ISNUMBER(SEARCH("-1*",A54)),1,
ISNUMBER(SEARCH("-2*",A54)),2)</f>
        <v>1</v>
      </c>
      <c r="E54" t="str" cm="1">
        <f t="array" ref="E54">_xlfn.IFS(
ISNUMBER(SEARCH("AUHV*",A54)),"AUHV",
ISNUMBER(SEARCH("BWW*",A54)),"BWW",
ISNUMBER(SEARCH("C1*",A54)),"C1",
ISNUMBER(SEARCH("C2*",A54)),"C2",
ISNUMBER(SEARCH("ORG*",A54)),"ORG",
ISNUMBER(SEARCH("PRY*",A54)),"PRY",
ISNUMBER(SEARCH("RCL*",A54)),"RCL",
ISNUMBER(SEARCH("SWW*",A54)),"SWW",
ISNUMBER(SEARCH("MNHV*",A54)),"MNHV")</f>
        <v>SWW</v>
      </c>
      <c r="F54" s="1">
        <v>2.63</v>
      </c>
      <c r="G54" s="1">
        <v>26.42</v>
      </c>
      <c r="I54" s="1">
        <v>23.42</v>
      </c>
    </row>
    <row r="55" spans="1:9" x14ac:dyDescent="0.2">
      <c r="A55" t="s">
        <v>147</v>
      </c>
      <c r="C55" t="str" cm="1">
        <f t="array" ref="C55">_xlfn.IFS(
ISNUMBER(SEARCH("IV*",A55)),"IV",
ISNUMBER(SEARCH("III*",A55)),"III",
ISNUMBER(SEARCH("II*",A55)),"II",
ISNUMBER(SEARCH("I*",A55)),"I")</f>
        <v>II</v>
      </c>
      <c r="D55" cm="1">
        <f t="array" ref="D55">_xlfn.IFS(
ISNUMBER(SEARCH("-1*",A55)),1,
ISNUMBER(SEARCH("-2*",A55)),2)</f>
        <v>2</v>
      </c>
      <c r="E55" t="str" cm="1">
        <f t="array" ref="E55">_xlfn.IFS(
ISNUMBER(SEARCH("AUHV*",A55)),"AUHV",
ISNUMBER(SEARCH("BWW*",A55)),"BWW",
ISNUMBER(SEARCH("C1*",A55)),"C1",
ISNUMBER(SEARCH("C2*",A55)),"C2",
ISNUMBER(SEARCH("ORG*",A55)),"ORG",
ISNUMBER(SEARCH("PRY*",A55)),"PRY",
ISNUMBER(SEARCH("RCL*",A55)),"RCL",
ISNUMBER(SEARCH("SWW*",A55)),"SWW",
ISNUMBER(SEARCH("MNHV*",A55)),"MNHV")</f>
        <v>SWW</v>
      </c>
      <c r="F55" s="1">
        <v>2.62</v>
      </c>
      <c r="G55" s="1">
        <v>25.86</v>
      </c>
      <c r="I55" s="1">
        <v>22.78</v>
      </c>
    </row>
    <row r="56" spans="1:9" x14ac:dyDescent="0.2">
      <c r="A56" t="s">
        <v>148</v>
      </c>
      <c r="C56" t="str" cm="1">
        <f t="array" ref="C56">_xlfn.IFS(
ISNUMBER(SEARCH("IV*",A56)),"IV",
ISNUMBER(SEARCH("III*",A56)),"III",
ISNUMBER(SEARCH("II*",A56)),"II",
ISNUMBER(SEARCH("I*",A56)),"I")</f>
        <v>IV</v>
      </c>
      <c r="D56" cm="1">
        <f t="array" ref="D56">_xlfn.IFS(
ISNUMBER(SEARCH("-1*",A56)),1,
ISNUMBER(SEARCH("-2*",A56)),2)</f>
        <v>1</v>
      </c>
      <c r="E56" t="str" cm="1">
        <f t="array" ref="E56">_xlfn.IFS(
ISNUMBER(SEARCH("AUHV*",A56)),"AUHV",
ISNUMBER(SEARCH("BWW*",A56)),"BWW",
ISNUMBER(SEARCH("C1*",A56)),"C1",
ISNUMBER(SEARCH("C2*",A56)),"C2",
ISNUMBER(SEARCH("ORG*",A56)),"ORG",
ISNUMBER(SEARCH("PRY*",A56)),"PRY",
ISNUMBER(SEARCH("RCL*",A56)),"RCL",
ISNUMBER(SEARCH("SWW*",A56)),"SWW",
ISNUMBER(SEARCH("MNHV*",A56)),"MNHV")</f>
        <v>AUHV</v>
      </c>
      <c r="F56" s="1">
        <v>2.62</v>
      </c>
      <c r="G56" s="1">
        <v>28.98</v>
      </c>
      <c r="I56" s="1">
        <v>23.37</v>
      </c>
    </row>
    <row r="57" spans="1:9" x14ac:dyDescent="0.2">
      <c r="A57" t="s">
        <v>149</v>
      </c>
      <c r="C57" t="str" cm="1">
        <f t="array" ref="C57">_xlfn.IFS(
ISNUMBER(SEARCH("IV*",A57)),"IV",
ISNUMBER(SEARCH("III*",A57)),"III",
ISNUMBER(SEARCH("II*",A57)),"II",
ISNUMBER(SEARCH("I*",A57)),"I")</f>
        <v>IV</v>
      </c>
      <c r="D57" cm="1">
        <f t="array" ref="D57">_xlfn.IFS(
ISNUMBER(SEARCH("-1*",A57)),1,
ISNUMBER(SEARCH("-2*",A57)),2)</f>
        <v>2</v>
      </c>
      <c r="E57" t="str" cm="1">
        <f t="array" ref="E57">_xlfn.IFS(
ISNUMBER(SEARCH("AUHV*",A57)),"AUHV",
ISNUMBER(SEARCH("BWW*",A57)),"BWW",
ISNUMBER(SEARCH("C1*",A57)),"C1",
ISNUMBER(SEARCH("C2*",A57)),"C2",
ISNUMBER(SEARCH("ORG*",A57)),"ORG",
ISNUMBER(SEARCH("PRY*",A57)),"PRY",
ISNUMBER(SEARCH("RCL*",A57)),"RCL",
ISNUMBER(SEARCH("SWW*",A57)),"SWW",
ISNUMBER(SEARCH("MNHV*",A57)),"MNHV")</f>
        <v>AUHV</v>
      </c>
      <c r="F57" s="1">
        <v>2.5099999999999998</v>
      </c>
      <c r="G57" s="1">
        <v>27.49</v>
      </c>
      <c r="I57" s="1">
        <v>22.22</v>
      </c>
    </row>
    <row r="58" spans="1:9" x14ac:dyDescent="0.2">
      <c r="A58" t="s">
        <v>150</v>
      </c>
      <c r="C58" t="str" cm="1">
        <f t="array" ref="C58">_xlfn.IFS(
ISNUMBER(SEARCH("IV*",A58)),"IV",
ISNUMBER(SEARCH("III*",A58)),"III",
ISNUMBER(SEARCH("II*",A58)),"II",
ISNUMBER(SEARCH("I*",A58)),"I")</f>
        <v>IV</v>
      </c>
      <c r="D58" cm="1">
        <f t="array" ref="D58">_xlfn.IFS(
ISNUMBER(SEARCH("-1*",A58)),1,
ISNUMBER(SEARCH("-2*",A58)),2)</f>
        <v>1</v>
      </c>
      <c r="E58" t="str" cm="1">
        <f t="array" ref="E58">_xlfn.IFS(
ISNUMBER(SEARCH("AUHV*",A58)),"AUHV",
ISNUMBER(SEARCH("BWW*",A58)),"BWW",
ISNUMBER(SEARCH("C1*",A58)),"C1",
ISNUMBER(SEARCH("C2*",A58)),"C2",
ISNUMBER(SEARCH("ORG*",A58)),"ORG",
ISNUMBER(SEARCH("PRY*",A58)),"PRY",
ISNUMBER(SEARCH("RCL*",A58)),"RCL",
ISNUMBER(SEARCH("SWW*",A58)),"SWW",
ISNUMBER(SEARCH("MNHV*",A58)),"MNHV")</f>
        <v>BWW</v>
      </c>
      <c r="F58" s="1">
        <v>2.62</v>
      </c>
      <c r="G58" s="1">
        <v>28.28</v>
      </c>
      <c r="I58" s="1">
        <v>23.34</v>
      </c>
    </row>
    <row r="59" spans="1:9" x14ac:dyDescent="0.2">
      <c r="A59" t="s">
        <v>151</v>
      </c>
      <c r="C59" t="str" cm="1">
        <f t="array" ref="C59">_xlfn.IFS(
ISNUMBER(SEARCH("IV*",A59)),"IV",
ISNUMBER(SEARCH("III*",A59)),"III",
ISNUMBER(SEARCH("II*",A59)),"II",
ISNUMBER(SEARCH("I*",A59)),"I")</f>
        <v>IV</v>
      </c>
      <c r="D59" cm="1">
        <f t="array" ref="D59">_xlfn.IFS(
ISNUMBER(SEARCH("-1*",A59)),1,
ISNUMBER(SEARCH("-2*",A59)),2)</f>
        <v>2</v>
      </c>
      <c r="E59" t="str" cm="1">
        <f t="array" ref="E59">_xlfn.IFS(
ISNUMBER(SEARCH("AUHV*",A59)),"AUHV",
ISNUMBER(SEARCH("BWW*",A59)),"BWW",
ISNUMBER(SEARCH("C1*",A59)),"C1",
ISNUMBER(SEARCH("C2*",A59)),"C2",
ISNUMBER(SEARCH("ORG*",A59)),"ORG",
ISNUMBER(SEARCH("PRY*",A59)),"PRY",
ISNUMBER(SEARCH("RCL*",A59)),"RCL",
ISNUMBER(SEARCH("SWW*",A59)),"SWW",
ISNUMBER(SEARCH("MNHV*",A59)),"MNHV")</f>
        <v>BWW</v>
      </c>
      <c r="F59" s="1">
        <v>2.61</v>
      </c>
      <c r="G59" s="1">
        <v>25.96</v>
      </c>
      <c r="I59" s="1">
        <v>22.44</v>
      </c>
    </row>
    <row r="60" spans="1:9" x14ac:dyDescent="0.2">
      <c r="A60" t="s">
        <v>152</v>
      </c>
      <c r="C60" t="str" cm="1">
        <f t="array" ref="C60">_xlfn.IFS(
ISNUMBER(SEARCH("IV*",A60)),"IV",
ISNUMBER(SEARCH("III*",A60)),"III",
ISNUMBER(SEARCH("II*",A60)),"II",
ISNUMBER(SEARCH("I*",A60)),"I")</f>
        <v>IV</v>
      </c>
      <c r="D60" cm="1">
        <f t="array" ref="D60">_xlfn.IFS(
ISNUMBER(SEARCH("-1*",A60)),1,
ISNUMBER(SEARCH("-2*",A60)),2)</f>
        <v>1</v>
      </c>
      <c r="E60" t="str" cm="1">
        <f t="array" ref="E60">_xlfn.IFS(
ISNUMBER(SEARCH("AUHV*",A60)),"AUHV",
ISNUMBER(SEARCH("BWW*",A60)),"BWW",
ISNUMBER(SEARCH("C1*",A60)),"C1",
ISNUMBER(SEARCH("C2*",A60)),"C2",
ISNUMBER(SEARCH("ORG*",A60)),"ORG",
ISNUMBER(SEARCH("PRY*",A60)),"PRY",
ISNUMBER(SEARCH("RCL*",A60)),"RCL",
ISNUMBER(SEARCH("SWW*",A60)),"SWW",
ISNUMBER(SEARCH("MNHV*",A60)),"MNHV")</f>
        <v>C1</v>
      </c>
    </row>
    <row r="61" spans="1:9" x14ac:dyDescent="0.2">
      <c r="A61" t="s">
        <v>153</v>
      </c>
      <c r="C61" t="str" cm="1">
        <f t="array" ref="C61">_xlfn.IFS(
ISNUMBER(SEARCH("IV*",A61)),"IV",
ISNUMBER(SEARCH("III*",A61)),"III",
ISNUMBER(SEARCH("II*",A61)),"II",
ISNUMBER(SEARCH("I*",A61)),"I")</f>
        <v>IV</v>
      </c>
      <c r="D61" cm="1">
        <f t="array" ref="D61">_xlfn.IFS(
ISNUMBER(SEARCH("-1*",A61)),1,
ISNUMBER(SEARCH("-2*",A61)),2)</f>
        <v>2</v>
      </c>
      <c r="E61" t="str" cm="1">
        <f t="array" ref="E61">_xlfn.IFS(
ISNUMBER(SEARCH("AUHV*",A61)),"AUHV",
ISNUMBER(SEARCH("BWW*",A61)),"BWW",
ISNUMBER(SEARCH("C1*",A61)),"C1",
ISNUMBER(SEARCH("C2*",A61)),"C2",
ISNUMBER(SEARCH("ORG*",A61)),"ORG",
ISNUMBER(SEARCH("PRY*",A61)),"PRY",
ISNUMBER(SEARCH("RCL*",A61)),"RCL",
ISNUMBER(SEARCH("SWW*",A61)),"SWW",
ISNUMBER(SEARCH("MNHV*",A61)),"MNHV")</f>
        <v>C1</v>
      </c>
    </row>
    <row r="62" spans="1:9" x14ac:dyDescent="0.2">
      <c r="A62" t="s">
        <v>154</v>
      </c>
      <c r="C62" t="str" cm="1">
        <f t="array" ref="C62">_xlfn.IFS(
ISNUMBER(SEARCH("IV*",A62)),"IV",
ISNUMBER(SEARCH("III*",A62)),"III",
ISNUMBER(SEARCH("II*",A62)),"II",
ISNUMBER(SEARCH("I*",A62)),"I")</f>
        <v>IV</v>
      </c>
      <c r="D62" cm="1">
        <f t="array" ref="D62">_xlfn.IFS(
ISNUMBER(SEARCH("-1*",A62)),1,
ISNUMBER(SEARCH("-2*",A62)),2)</f>
        <v>1</v>
      </c>
      <c r="E62" t="str" cm="1">
        <f t="array" ref="E62">_xlfn.IFS(
ISNUMBER(SEARCH("AUHV*",A62)),"AUHV",
ISNUMBER(SEARCH("BWW*",A62)),"BWW",
ISNUMBER(SEARCH("C1*",A62)),"C1",
ISNUMBER(SEARCH("C2*",A62)),"C2",
ISNUMBER(SEARCH("ORG*",A62)),"ORG",
ISNUMBER(SEARCH("PRY*",A62)),"PRY",
ISNUMBER(SEARCH("RCL*",A62)),"RCL",
ISNUMBER(SEARCH("SWW*",A62)),"SWW",
ISNUMBER(SEARCH("MNHV*",A62)),"MNHV")</f>
        <v>C2</v>
      </c>
    </row>
    <row r="63" spans="1:9" x14ac:dyDescent="0.2">
      <c r="A63" t="s">
        <v>155</v>
      </c>
      <c r="C63" t="str" cm="1">
        <f t="array" ref="C63">_xlfn.IFS(
ISNUMBER(SEARCH("IV*",A63)),"IV",
ISNUMBER(SEARCH("III*",A63)),"III",
ISNUMBER(SEARCH("II*",A63)),"II",
ISNUMBER(SEARCH("I*",A63)),"I")</f>
        <v>IV</v>
      </c>
      <c r="D63" cm="1">
        <f t="array" ref="D63">_xlfn.IFS(
ISNUMBER(SEARCH("-1*",A63)),1,
ISNUMBER(SEARCH("-2*",A63)),2)</f>
        <v>2</v>
      </c>
      <c r="E63" t="str" cm="1">
        <f t="array" ref="E63">_xlfn.IFS(
ISNUMBER(SEARCH("AUHV*",A63)),"AUHV",
ISNUMBER(SEARCH("BWW*",A63)),"BWW",
ISNUMBER(SEARCH("C1*",A63)),"C1",
ISNUMBER(SEARCH("C2*",A63)),"C2",
ISNUMBER(SEARCH("ORG*",A63)),"ORG",
ISNUMBER(SEARCH("PRY*",A63)),"PRY",
ISNUMBER(SEARCH("RCL*",A63)),"RCL",
ISNUMBER(SEARCH("SWW*",A63)),"SWW",
ISNUMBER(SEARCH("MNHV*",A63)),"MNHV")</f>
        <v>C2</v>
      </c>
    </row>
    <row r="64" spans="1:9" x14ac:dyDescent="0.2">
      <c r="A64" t="s">
        <v>156</v>
      </c>
      <c r="C64" t="str" cm="1">
        <f t="array" ref="C64">_xlfn.IFS(
ISNUMBER(SEARCH("IV*",A64)),"IV",
ISNUMBER(SEARCH("III*",A64)),"III",
ISNUMBER(SEARCH("II*",A64)),"II",
ISNUMBER(SEARCH("I*",A64)),"I")</f>
        <v>IV</v>
      </c>
      <c r="D64" cm="1">
        <f t="array" ref="D64">_xlfn.IFS(
ISNUMBER(SEARCH("-1*",A64)),1,
ISNUMBER(SEARCH("-2*",A64)),2)</f>
        <v>1</v>
      </c>
      <c r="E64" t="str" cm="1">
        <f t="array" ref="E64">_xlfn.IFS(
ISNUMBER(SEARCH("AUHV*",A64)),"AUHV",
ISNUMBER(SEARCH("BWW*",A64)),"BWW",
ISNUMBER(SEARCH("C1*",A64)),"C1",
ISNUMBER(SEARCH("C2*",A64)),"C2",
ISNUMBER(SEARCH("ORG*",A64)),"ORG",
ISNUMBER(SEARCH("PRY*",A64)),"PRY",
ISNUMBER(SEARCH("RCL*",A64)),"RCL",
ISNUMBER(SEARCH("SWW*",A64)),"SWW",
ISNUMBER(SEARCH("MNHV*",A64)),"MNHV")</f>
        <v>MNHV</v>
      </c>
      <c r="F64" s="1">
        <v>2.65</v>
      </c>
      <c r="G64" s="1">
        <v>27.16</v>
      </c>
      <c r="I64" s="1">
        <v>22.27</v>
      </c>
    </row>
    <row r="65" spans="1:9" x14ac:dyDescent="0.2">
      <c r="A65" t="s">
        <v>157</v>
      </c>
      <c r="C65" t="str" cm="1">
        <f t="array" ref="C65">_xlfn.IFS(
ISNUMBER(SEARCH("IV*",A65)),"IV",
ISNUMBER(SEARCH("III*",A65)),"III",
ISNUMBER(SEARCH("II*",A65)),"II",
ISNUMBER(SEARCH("I*",A65)),"I")</f>
        <v>IV</v>
      </c>
      <c r="D65" cm="1">
        <f t="array" ref="D65">_xlfn.IFS(
ISNUMBER(SEARCH("-1*",A65)),1,
ISNUMBER(SEARCH("-2*",A65)),2)</f>
        <v>2</v>
      </c>
      <c r="E65" t="str" cm="1">
        <f t="array" ref="E65">_xlfn.IFS(
ISNUMBER(SEARCH("AUHV*",A65)),"AUHV",
ISNUMBER(SEARCH("BWW*",A65)),"BWW",
ISNUMBER(SEARCH("C1*",A65)),"C1",
ISNUMBER(SEARCH("C2*",A65)),"C2",
ISNUMBER(SEARCH("ORG*",A65)),"ORG",
ISNUMBER(SEARCH("PRY*",A65)),"PRY",
ISNUMBER(SEARCH("RCL*",A65)),"RCL",
ISNUMBER(SEARCH("SWW*",A65)),"SWW",
ISNUMBER(SEARCH("MNHV*",A65)),"MNHV")</f>
        <v>MNHV</v>
      </c>
      <c r="F65" s="1">
        <v>2.59</v>
      </c>
      <c r="G65" s="1">
        <v>25.49</v>
      </c>
      <c r="I65" s="1">
        <v>21.09</v>
      </c>
    </row>
    <row r="66" spans="1:9" x14ac:dyDescent="0.2">
      <c r="A66" t="s">
        <v>158</v>
      </c>
      <c r="C66" t="str" cm="1">
        <f t="array" ref="C66">_xlfn.IFS(
ISNUMBER(SEARCH("IV*",A66)),"IV",
ISNUMBER(SEARCH("III*",A66)),"III",
ISNUMBER(SEARCH("II*",A66)),"II",
ISNUMBER(SEARCH("I*",A66)),"I")</f>
        <v>IV</v>
      </c>
      <c r="D66" cm="1">
        <f t="array" ref="D66">_xlfn.IFS(
ISNUMBER(SEARCH("-1*",A66)),1,
ISNUMBER(SEARCH("-2*",A66)),2)</f>
        <v>1</v>
      </c>
      <c r="E66" t="str" cm="1">
        <f t="array" ref="E66">_xlfn.IFS(
ISNUMBER(SEARCH("AUHV*",A66)),"AUHV",
ISNUMBER(SEARCH("BWW*",A66)),"BWW",
ISNUMBER(SEARCH("C1*",A66)),"C1",
ISNUMBER(SEARCH("C2*",A66)),"C2",
ISNUMBER(SEARCH("ORG*",A66)),"ORG",
ISNUMBER(SEARCH("PRY*",A66)),"PRY",
ISNUMBER(SEARCH("RCL*",A66)),"RCL",
ISNUMBER(SEARCH("SWW*",A66)),"SWW",
ISNUMBER(SEARCH("MNHV*",A66)),"MNHV")</f>
        <v>ORG</v>
      </c>
      <c r="F66" s="1">
        <v>2.64</v>
      </c>
      <c r="G66" s="1">
        <v>25.79</v>
      </c>
      <c r="I66" s="1">
        <v>21.17</v>
      </c>
    </row>
    <row r="67" spans="1:9" x14ac:dyDescent="0.2">
      <c r="A67" t="s">
        <v>159</v>
      </c>
      <c r="C67" t="str" cm="1">
        <f t="array" ref="C67">_xlfn.IFS(
ISNUMBER(SEARCH("IV*",A67)),"IV",
ISNUMBER(SEARCH("III*",A67)),"III",
ISNUMBER(SEARCH("II*",A67)),"II",
ISNUMBER(SEARCH("I*",A67)),"I")</f>
        <v>IV</v>
      </c>
      <c r="D67" cm="1">
        <f t="array" ref="D67">_xlfn.IFS(
ISNUMBER(SEARCH("-1*",A67)),1,
ISNUMBER(SEARCH("-2*",A67)),2)</f>
        <v>2</v>
      </c>
      <c r="E67" t="str" cm="1">
        <f t="array" ref="E67">_xlfn.IFS(
ISNUMBER(SEARCH("AUHV*",A67)),"AUHV",
ISNUMBER(SEARCH("BWW*",A67)),"BWW",
ISNUMBER(SEARCH("C1*",A67)),"C1",
ISNUMBER(SEARCH("C2*",A67)),"C2",
ISNUMBER(SEARCH("ORG*",A67)),"ORG",
ISNUMBER(SEARCH("PRY*",A67)),"PRY",
ISNUMBER(SEARCH("RCL*",A67)),"RCL",
ISNUMBER(SEARCH("SWW*",A67)),"SWW",
ISNUMBER(SEARCH("MNHV*",A67)),"MNHV")</f>
        <v>ORG</v>
      </c>
      <c r="F67" s="1">
        <v>2.69</v>
      </c>
      <c r="G67" s="1">
        <v>26.93</v>
      </c>
      <c r="I67" s="1">
        <v>22.59</v>
      </c>
    </row>
    <row r="68" spans="1:9" x14ac:dyDescent="0.2">
      <c r="A68" t="s">
        <v>160</v>
      </c>
      <c r="C68" t="str" cm="1">
        <f t="array" ref="C68">_xlfn.IFS(
ISNUMBER(SEARCH("IV*",A68)),"IV",
ISNUMBER(SEARCH("III*",A68)),"III",
ISNUMBER(SEARCH("II*",A68)),"II",
ISNUMBER(SEARCH("I*",A68)),"I")</f>
        <v>IV</v>
      </c>
      <c r="D68" cm="1">
        <f t="array" ref="D68">_xlfn.IFS(
ISNUMBER(SEARCH("-1*",A68)),1,
ISNUMBER(SEARCH("-2*",A68)),2)</f>
        <v>1</v>
      </c>
      <c r="E68" t="str" cm="1">
        <f t="array" ref="E68">_xlfn.IFS(
ISNUMBER(SEARCH("AUHV*",A68)),"AUHV",
ISNUMBER(SEARCH("BWW*",A68)),"BWW",
ISNUMBER(SEARCH("C1*",A68)),"C1",
ISNUMBER(SEARCH("C2*",A68)),"C2",
ISNUMBER(SEARCH("ORG*",A68)),"ORG",
ISNUMBER(SEARCH("PRY*",A68)),"PRY",
ISNUMBER(SEARCH("RCL*",A68)),"RCL",
ISNUMBER(SEARCH("SWW*",A68)),"SWW",
ISNUMBER(SEARCH("MNHV*",A68)),"MNHV")</f>
        <v>PRY</v>
      </c>
      <c r="F68" s="1">
        <v>2.67</v>
      </c>
      <c r="G68" s="1">
        <v>27.33</v>
      </c>
      <c r="I68" s="1">
        <v>22.13</v>
      </c>
    </row>
    <row r="69" spans="1:9" x14ac:dyDescent="0.2">
      <c r="A69" t="s">
        <v>161</v>
      </c>
      <c r="C69" t="str" cm="1">
        <f t="array" ref="C69">_xlfn.IFS(
ISNUMBER(SEARCH("IV*",A69)),"IV",
ISNUMBER(SEARCH("III*",A69)),"III",
ISNUMBER(SEARCH("II*",A69)),"II",
ISNUMBER(SEARCH("I*",A69)),"I")</f>
        <v>IV</v>
      </c>
      <c r="D69" cm="1">
        <f t="array" ref="D69">_xlfn.IFS(
ISNUMBER(SEARCH("-1*",A69)),1,
ISNUMBER(SEARCH("-2*",A69)),2)</f>
        <v>2</v>
      </c>
      <c r="E69" t="str" cm="1">
        <f t="array" ref="E69">_xlfn.IFS(
ISNUMBER(SEARCH("AUHV*",A69)),"AUHV",
ISNUMBER(SEARCH("BWW*",A69)),"BWW",
ISNUMBER(SEARCH("C1*",A69)),"C1",
ISNUMBER(SEARCH("C2*",A69)),"C2",
ISNUMBER(SEARCH("ORG*",A69)),"ORG",
ISNUMBER(SEARCH("PRY*",A69)),"PRY",
ISNUMBER(SEARCH("RCL*",A69)),"RCL",
ISNUMBER(SEARCH("SWW*",A69)),"SWW",
ISNUMBER(SEARCH("MNHV*",A69)),"MNHV")</f>
        <v>PRY</v>
      </c>
      <c r="F69" s="1">
        <v>2.69</v>
      </c>
      <c r="G69" s="1">
        <v>28.98</v>
      </c>
      <c r="I69" s="1">
        <v>24.12</v>
      </c>
    </row>
    <row r="70" spans="1:9" x14ac:dyDescent="0.2">
      <c r="A70" t="s">
        <v>162</v>
      </c>
      <c r="C70" t="str" cm="1">
        <f t="array" ref="C70">_xlfn.IFS(
ISNUMBER(SEARCH("IV*",A70)),"IV",
ISNUMBER(SEARCH("III*",A70)),"III",
ISNUMBER(SEARCH("II*",A70)),"II",
ISNUMBER(SEARCH("I*",A70)),"I")</f>
        <v>IV</v>
      </c>
      <c r="D70" cm="1">
        <f t="array" ref="D70">_xlfn.IFS(
ISNUMBER(SEARCH("-1*",A70)),1,
ISNUMBER(SEARCH("-2*",A70)),2)</f>
        <v>1</v>
      </c>
      <c r="E70" t="str" cm="1">
        <f t="array" ref="E70">_xlfn.IFS(
ISNUMBER(SEARCH("AUHV*",A70)),"AUHV",
ISNUMBER(SEARCH("BWW*",A70)),"BWW",
ISNUMBER(SEARCH("C1*",A70)),"C1",
ISNUMBER(SEARCH("C2*",A70)),"C2",
ISNUMBER(SEARCH("ORG*",A70)),"ORG",
ISNUMBER(SEARCH("PRY*",A70)),"PRY",
ISNUMBER(SEARCH("RCL*",A70)),"RCL",
ISNUMBER(SEARCH("SWW*",A70)),"SWW",
ISNUMBER(SEARCH("MNHV*",A70)),"MNHV")</f>
        <v>RCL</v>
      </c>
      <c r="F70" s="1">
        <v>2.73</v>
      </c>
      <c r="G70" s="1">
        <v>29.89</v>
      </c>
      <c r="I70" s="1">
        <v>25.04</v>
      </c>
    </row>
    <row r="71" spans="1:9" x14ac:dyDescent="0.2">
      <c r="A71" t="s">
        <v>163</v>
      </c>
      <c r="C71" t="str" cm="1">
        <f t="array" ref="C71">_xlfn.IFS(
ISNUMBER(SEARCH("IV*",A71)),"IV",
ISNUMBER(SEARCH("III*",A71)),"III",
ISNUMBER(SEARCH("II*",A71)),"II",
ISNUMBER(SEARCH("I*",A71)),"I")</f>
        <v>IV</v>
      </c>
      <c r="D71" cm="1">
        <f t="array" ref="D71">_xlfn.IFS(
ISNUMBER(SEARCH("-1*",A71)),1,
ISNUMBER(SEARCH("-2*",A71)),2)</f>
        <v>2</v>
      </c>
      <c r="E71" t="str" cm="1">
        <f t="array" ref="E71">_xlfn.IFS(
ISNUMBER(SEARCH("AUHV*",A71)),"AUHV",
ISNUMBER(SEARCH("BWW*",A71)),"BWW",
ISNUMBER(SEARCH("C1*",A71)),"C1",
ISNUMBER(SEARCH("C2*",A71)),"C2",
ISNUMBER(SEARCH("ORG*",A71)),"ORG",
ISNUMBER(SEARCH("PRY*",A71)),"PRY",
ISNUMBER(SEARCH("RCL*",A71)),"RCL",
ISNUMBER(SEARCH("SWW*",A71)),"SWW",
ISNUMBER(SEARCH("MNHV*",A71)),"MNHV")</f>
        <v>RCL</v>
      </c>
      <c r="F71" s="1">
        <v>2.73</v>
      </c>
      <c r="G71" s="1">
        <v>29.34</v>
      </c>
      <c r="I71" s="1">
        <v>24.59</v>
      </c>
    </row>
    <row r="72" spans="1:9" x14ac:dyDescent="0.2">
      <c r="A72" t="s">
        <v>164</v>
      </c>
      <c r="C72" t="str" cm="1">
        <f t="array" ref="C72">_xlfn.IFS(
ISNUMBER(SEARCH("IV*",A72)),"IV",
ISNUMBER(SEARCH("III*",A72)),"III",
ISNUMBER(SEARCH("II*",A72)),"II",
ISNUMBER(SEARCH("I*",A72)),"I")</f>
        <v>IV</v>
      </c>
      <c r="D72" cm="1">
        <f t="array" ref="D72">_xlfn.IFS(
ISNUMBER(SEARCH("-1*",A72)),1,
ISNUMBER(SEARCH("-2*",A72)),2)</f>
        <v>1</v>
      </c>
      <c r="E72" t="str" cm="1">
        <f t="array" ref="E72">_xlfn.IFS(
ISNUMBER(SEARCH("AUHV*",A72)),"AUHV",
ISNUMBER(SEARCH("BWW*",A72)),"BWW",
ISNUMBER(SEARCH("C1*",A72)),"C1",
ISNUMBER(SEARCH("C2*",A72)),"C2",
ISNUMBER(SEARCH("ORG*",A72)),"ORG",
ISNUMBER(SEARCH("PRY*",A72)),"PRY",
ISNUMBER(SEARCH("RCL*",A72)),"RCL",
ISNUMBER(SEARCH("SWW*",A72)),"SWW",
ISNUMBER(SEARCH("MNHV*",A72)),"MNHV")</f>
        <v>SWW</v>
      </c>
      <c r="F72" s="1">
        <v>2.75</v>
      </c>
      <c r="G72" s="1">
        <v>28.72</v>
      </c>
      <c r="I72" s="1">
        <v>23.47</v>
      </c>
    </row>
    <row r="73" spans="1:9" x14ac:dyDescent="0.2">
      <c r="A73" t="s">
        <v>165</v>
      </c>
      <c r="C73" t="str" cm="1">
        <f t="array" ref="C73">_xlfn.IFS(
ISNUMBER(SEARCH("IV*",A73)),"IV",
ISNUMBER(SEARCH("III*",A73)),"III",
ISNUMBER(SEARCH("II*",A73)),"II",
ISNUMBER(SEARCH("I*",A73)),"I")</f>
        <v>IV</v>
      </c>
      <c r="D73" cm="1">
        <f t="array" ref="D73">_xlfn.IFS(
ISNUMBER(SEARCH("-1*",A73)),1,
ISNUMBER(SEARCH("-2*",A73)),2)</f>
        <v>2</v>
      </c>
      <c r="E73" t="str" cm="1">
        <f t="array" ref="E73">_xlfn.IFS(
ISNUMBER(SEARCH("AUHV*",A73)),"AUHV",
ISNUMBER(SEARCH("BWW*",A73)),"BWW",
ISNUMBER(SEARCH("C1*",A73)),"C1",
ISNUMBER(SEARCH("C2*",A73)),"C2",
ISNUMBER(SEARCH("ORG*",A73)),"ORG",
ISNUMBER(SEARCH("PRY*",A73)),"PRY",
ISNUMBER(SEARCH("RCL*",A73)),"RCL",
ISNUMBER(SEARCH("SWW*",A73)),"SWW",
ISNUMBER(SEARCH("MNHV*",A73)),"MNHV")</f>
        <v>SWW</v>
      </c>
      <c r="F73" s="1">
        <v>2.73</v>
      </c>
      <c r="G73" s="1">
        <v>28.14</v>
      </c>
      <c r="I73" s="1">
        <v>23.03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T1_sieved</vt:lpstr>
      <vt:lpstr>T2_sieved</vt:lpstr>
      <vt:lpstr>T2_unsieved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Leigh Martinez</dc:creator>
  <cp:lastModifiedBy>Andrea Leigh Martinez</cp:lastModifiedBy>
  <dcterms:created xsi:type="dcterms:W3CDTF">2026-05-13T15:32:30Z</dcterms:created>
  <dcterms:modified xsi:type="dcterms:W3CDTF">2026-06-29T02:26:48Z</dcterms:modified>
</cp:coreProperties>
</file>